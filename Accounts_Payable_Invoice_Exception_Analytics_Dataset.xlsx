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erthika\Downloads\"/>
    </mc:Choice>
  </mc:AlternateContent>
  <xr:revisionPtr revIDLastSave="0" documentId="13_ncr:1_{18322690-4E0C-45EE-8577-5988D19AEA34}" xr6:coauthVersionLast="47" xr6:coauthVersionMax="47" xr10:uidLastSave="{00000000-0000-0000-0000-000000000000}"/>
  <bookViews>
    <workbookView xWindow="-120" yWindow="-120" windowWidth="29040" windowHeight="15840" tabRatio="790" xr2:uid="{00000000-000D-0000-FFFF-FFFF00000000}"/>
  </bookViews>
  <sheets>
    <sheet name="AP_Dashboard" sheetId="11" r:id="rId1"/>
    <sheet name="Invoices_Raw" sheetId="2" r:id="rId2"/>
    <sheet name="Payments_Raw" sheetId="3" r:id="rId3"/>
    <sheet name="Vendor_Master" sheetId="4" r:id="rId4"/>
    <sheet name="Modification_Requests" sheetId="5" r:id="rId5"/>
    <sheet name="Data_Dictionary" sheetId="6" r:id="rId6"/>
    <sheet name="PT_Exceptions" sheetId="8" r:id="rId7"/>
    <sheet name="PT_Payments" sheetId="9" r:id="rId8"/>
    <sheet name="PT_Overdue" sheetId="10" r:id="rId9"/>
    <sheet name="Invoice_Analysis" sheetId="7" r:id="rId10"/>
  </sheets>
  <definedNames>
    <definedName name="_xlnm._FilterDatabase" localSheetId="5" hidden="1">Data_Dictionary!$A$1:$C$13</definedName>
    <definedName name="_xlnm._FilterDatabase" localSheetId="1" hidden="1">Invoices_Raw!$A$1:$K$525</definedName>
    <definedName name="_xlnm._FilterDatabase" localSheetId="4" hidden="1">Modification_Requests!$A$1:$H$71</definedName>
    <definedName name="_xlnm._FilterDatabase" localSheetId="2" hidden="1">Payments_Raw!$A$1:$I$421</definedName>
    <definedName name="_xlnm._FilterDatabase" localSheetId="3" hidden="1">Vendor_Master!$A$1:$G$21</definedName>
  </definedNames>
  <calcPr calcId="191029"/>
  <pivotCaches>
    <pivotCache cacheId="1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7" l="1"/>
  <c r="R5" i="7"/>
  <c r="R4" i="7"/>
  <c r="S496" i="7"/>
  <c r="Q3" i="7"/>
  <c r="Q4" i="7"/>
  <c r="Q11" i="7"/>
  <c r="Q12" i="7"/>
  <c r="Q19" i="7"/>
  <c r="Q27" i="7"/>
  <c r="Q35" i="7"/>
  <c r="Q43" i="7"/>
  <c r="Q51" i="7"/>
  <c r="Q52" i="7"/>
  <c r="Q59" i="7"/>
  <c r="Q67" i="7"/>
  <c r="Q68" i="7"/>
  <c r="Q75" i="7"/>
  <c r="Q83" i="7"/>
  <c r="Q91" i="7"/>
  <c r="Q92" i="7"/>
  <c r="Q147" i="7"/>
  <c r="Q148" i="7"/>
  <c r="Q195" i="7"/>
  <c r="Q211" i="7"/>
  <c r="Q260" i="7"/>
  <c r="Q268" i="7"/>
  <c r="Q308" i="7"/>
  <c r="Q339" i="7"/>
  <c r="Q387" i="7"/>
  <c r="Q395" i="7"/>
  <c r="Q412" i="7"/>
  <c r="Q451" i="7"/>
  <c r="Q459" i="7"/>
  <c r="Q483" i="7"/>
  <c r="Q484" i="7"/>
  <c r="Q516" i="7"/>
  <c r="M4" i="7"/>
  <c r="M5" i="7"/>
  <c r="Q5" i="7" s="1"/>
  <c r="M10" i="7"/>
  <c r="Q10" i="7" s="1"/>
  <c r="M21" i="7"/>
  <c r="Q21" i="7" s="1"/>
  <c r="M24" i="7"/>
  <c r="Q24" i="7" s="1"/>
  <c r="M44" i="7"/>
  <c r="Q44" i="7" s="1"/>
  <c r="M49" i="7"/>
  <c r="Q49" i="7" s="1"/>
  <c r="M51" i="7"/>
  <c r="M52" i="7"/>
  <c r="M57" i="7"/>
  <c r="Q57" i="7" s="1"/>
  <c r="M62" i="7"/>
  <c r="Q62" i="7" s="1"/>
  <c r="M68" i="7"/>
  <c r="M69" i="7"/>
  <c r="Q69" i="7" s="1"/>
  <c r="M70" i="7"/>
  <c r="Q70" i="7" s="1"/>
  <c r="M72" i="7"/>
  <c r="Q72" i="7" s="1"/>
  <c r="M78" i="7"/>
  <c r="Q78" i="7" s="1"/>
  <c r="M92" i="7"/>
  <c r="M98" i="7"/>
  <c r="Q98" i="7" s="1"/>
  <c r="M105" i="7"/>
  <c r="Q105" i="7" s="1"/>
  <c r="M119" i="7"/>
  <c r="Q119" i="7" s="1"/>
  <c r="M121" i="7"/>
  <c r="Q121" i="7" s="1"/>
  <c r="M132" i="7"/>
  <c r="Q132" i="7" s="1"/>
  <c r="M133" i="7"/>
  <c r="Q133" i="7" s="1"/>
  <c r="M147" i="7"/>
  <c r="M148" i="7"/>
  <c r="M173" i="7"/>
  <c r="Q173" i="7" s="1"/>
  <c r="M176" i="7"/>
  <c r="Q176" i="7" s="1"/>
  <c r="M181" i="7"/>
  <c r="Q181" i="7" s="1"/>
  <c r="M188" i="7"/>
  <c r="Q188" i="7" s="1"/>
  <c r="M191" i="7"/>
  <c r="Q191" i="7" s="1"/>
  <c r="M194" i="7"/>
  <c r="Q194" i="7" s="1"/>
  <c r="M195" i="7"/>
  <c r="M197" i="7"/>
  <c r="Q197" i="7" s="1"/>
  <c r="M199" i="7"/>
  <c r="Q199" i="7" s="1"/>
  <c r="M211" i="7"/>
  <c r="M216" i="7"/>
  <c r="Q216" i="7" s="1"/>
  <c r="M217" i="7"/>
  <c r="Q217" i="7" s="1"/>
  <c r="M219" i="7"/>
  <c r="Q219" i="7" s="1"/>
  <c r="M221" i="7"/>
  <c r="Q221" i="7" s="1"/>
  <c r="M222" i="7"/>
  <c r="Q222" i="7" s="1"/>
  <c r="M226" i="7"/>
  <c r="Q226" i="7" s="1"/>
  <c r="M237" i="7"/>
  <c r="Q237" i="7" s="1"/>
  <c r="M245" i="7"/>
  <c r="Q245" i="7" s="1"/>
  <c r="M246" i="7"/>
  <c r="Q246" i="7" s="1"/>
  <c r="M248" i="7"/>
  <c r="Q248" i="7" s="1"/>
  <c r="M259" i="7"/>
  <c r="Q259" i="7" s="1"/>
  <c r="M260" i="7"/>
  <c r="M268" i="7"/>
  <c r="M269" i="7"/>
  <c r="Q269" i="7" s="1"/>
  <c r="M272" i="7"/>
  <c r="Q272" i="7" s="1"/>
  <c r="M273" i="7"/>
  <c r="Q273" i="7" s="1"/>
  <c r="M274" i="7"/>
  <c r="Q274" i="7" s="1"/>
  <c r="M278" i="7"/>
  <c r="Q278" i="7" s="1"/>
  <c r="M280" i="7"/>
  <c r="Q280" i="7" s="1"/>
  <c r="M296" i="7"/>
  <c r="Q296" i="7" s="1"/>
  <c r="M297" i="7"/>
  <c r="Q297" i="7" s="1"/>
  <c r="M303" i="7"/>
  <c r="Q303" i="7" s="1"/>
  <c r="M308" i="7"/>
  <c r="M309" i="7"/>
  <c r="Q309" i="7" s="1"/>
  <c r="M310" i="7"/>
  <c r="Q310" i="7" s="1"/>
  <c r="M312" i="7"/>
  <c r="Q312" i="7" s="1"/>
  <c r="M316" i="7"/>
  <c r="Q316" i="7" s="1"/>
  <c r="M334" i="7"/>
  <c r="Q334" i="7" s="1"/>
  <c r="M337" i="7"/>
  <c r="Q337" i="7" s="1"/>
  <c r="M339" i="7"/>
  <c r="M349" i="7"/>
  <c r="Q349" i="7" s="1"/>
  <c r="M352" i="7"/>
  <c r="Q352" i="7" s="1"/>
  <c r="M358" i="7"/>
  <c r="Q358" i="7" s="1"/>
  <c r="M359" i="7"/>
  <c r="Q359" i="7" s="1"/>
  <c r="M365" i="7"/>
  <c r="Q365" i="7" s="1"/>
  <c r="M381" i="7"/>
  <c r="Q381" i="7" s="1"/>
  <c r="M382" i="7"/>
  <c r="Q382" i="7" s="1"/>
  <c r="M387" i="7"/>
  <c r="M391" i="7"/>
  <c r="Q391" i="7" s="1"/>
  <c r="M394" i="7"/>
  <c r="Q394" i="7" s="1"/>
  <c r="M395" i="7"/>
  <c r="M398" i="7"/>
  <c r="Q398" i="7" s="1"/>
  <c r="M403" i="7"/>
  <c r="Q403" i="7" s="1"/>
  <c r="M406" i="7"/>
  <c r="Q406" i="7" s="1"/>
  <c r="M412" i="7"/>
  <c r="M413" i="7"/>
  <c r="Q413" i="7" s="1"/>
  <c r="M422" i="7"/>
  <c r="Q422" i="7" s="1"/>
  <c r="M425" i="7"/>
  <c r="Q425" i="7" s="1"/>
  <c r="M429" i="7"/>
  <c r="Q429" i="7" s="1"/>
  <c r="M430" i="7"/>
  <c r="Q430" i="7" s="1"/>
  <c r="M441" i="7"/>
  <c r="Q441" i="7" s="1"/>
  <c r="M442" i="7"/>
  <c r="Q442" i="7" s="1"/>
  <c r="M449" i="7"/>
  <c r="Q449" i="7" s="1"/>
  <c r="M451" i="7"/>
  <c r="M459" i="7"/>
  <c r="M461" i="7"/>
  <c r="Q461" i="7" s="1"/>
  <c r="M463" i="7"/>
  <c r="Q463" i="7" s="1"/>
  <c r="M466" i="7"/>
  <c r="Q466" i="7" s="1"/>
  <c r="M467" i="7"/>
  <c r="Q467" i="7" s="1"/>
  <c r="M470" i="7"/>
  <c r="Q470" i="7" s="1"/>
  <c r="M483" i="7"/>
  <c r="M484" i="7"/>
  <c r="M485" i="7"/>
  <c r="Q485" i="7" s="1"/>
  <c r="M494" i="7"/>
  <c r="Q494" i="7" s="1"/>
  <c r="M495" i="7"/>
  <c r="Q495" i="7" s="1"/>
  <c r="M500" i="7"/>
  <c r="Q500" i="7" s="1"/>
  <c r="M506" i="7"/>
  <c r="Q506" i="7" s="1"/>
  <c r="M516" i="7"/>
  <c r="M2" i="7"/>
  <c r="Q2" i="7" s="1"/>
  <c r="N3" i="7"/>
  <c r="M3" i="7" s="1"/>
  <c r="N4" i="7"/>
  <c r="O4" i="7" s="1"/>
  <c r="N5" i="7"/>
  <c r="O5" i="7" s="1"/>
  <c r="N6" i="7"/>
  <c r="M6" i="7" s="1"/>
  <c r="Q6" i="7" s="1"/>
  <c r="N7" i="7"/>
  <c r="N8" i="7"/>
  <c r="M8" i="7" s="1"/>
  <c r="Q8" i="7" s="1"/>
  <c r="N9" i="7"/>
  <c r="M9" i="7" s="1"/>
  <c r="Q9" i="7" s="1"/>
  <c r="N10" i="7"/>
  <c r="O10" i="7" s="1"/>
  <c r="N11" i="7"/>
  <c r="M11" i="7" s="1"/>
  <c r="N12" i="7"/>
  <c r="M12" i="7" s="1"/>
  <c r="N13" i="7"/>
  <c r="N14" i="7"/>
  <c r="M14" i="7" s="1"/>
  <c r="Q14" i="7" s="1"/>
  <c r="N15" i="7"/>
  <c r="M15" i="7" s="1"/>
  <c r="Q15" i="7" s="1"/>
  <c r="N16" i="7"/>
  <c r="M16" i="7" s="1"/>
  <c r="Q16" i="7" s="1"/>
  <c r="N17" i="7"/>
  <c r="M17" i="7" s="1"/>
  <c r="Q17" i="7" s="1"/>
  <c r="N18" i="7"/>
  <c r="M18" i="7" s="1"/>
  <c r="Q18" i="7" s="1"/>
  <c r="N19" i="7"/>
  <c r="M19" i="7" s="1"/>
  <c r="N20" i="7"/>
  <c r="N21" i="7"/>
  <c r="O21" i="7" s="1"/>
  <c r="N22" i="7"/>
  <c r="M22" i="7" s="1"/>
  <c r="Q22" i="7" s="1"/>
  <c r="N23" i="7"/>
  <c r="M23" i="7" s="1"/>
  <c r="Q23" i="7" s="1"/>
  <c r="N24" i="7"/>
  <c r="O24" i="7" s="1"/>
  <c r="N25" i="7"/>
  <c r="M25" i="7" s="1"/>
  <c r="Q25" i="7" s="1"/>
  <c r="N26" i="7"/>
  <c r="M26" i="7" s="1"/>
  <c r="Q26" i="7" s="1"/>
  <c r="N27" i="7"/>
  <c r="M27" i="7" s="1"/>
  <c r="N28" i="7"/>
  <c r="N29" i="7"/>
  <c r="N30" i="7"/>
  <c r="M30" i="7" s="1"/>
  <c r="Q30" i="7" s="1"/>
  <c r="N31" i="7"/>
  <c r="M31" i="7" s="1"/>
  <c r="Q31" i="7" s="1"/>
  <c r="N32" i="7"/>
  <c r="M32" i="7" s="1"/>
  <c r="Q32" i="7" s="1"/>
  <c r="N33" i="7"/>
  <c r="M33" i="7" s="1"/>
  <c r="Q33" i="7" s="1"/>
  <c r="N34" i="7"/>
  <c r="M34" i="7" s="1"/>
  <c r="Q34" i="7" s="1"/>
  <c r="N35" i="7"/>
  <c r="M35" i="7" s="1"/>
  <c r="N36" i="7"/>
  <c r="N37" i="7"/>
  <c r="N38" i="7"/>
  <c r="M38" i="7" s="1"/>
  <c r="Q38" i="7" s="1"/>
  <c r="N39" i="7"/>
  <c r="M39" i="7" s="1"/>
  <c r="Q39" i="7" s="1"/>
  <c r="N40" i="7"/>
  <c r="M40" i="7" s="1"/>
  <c r="Q40" i="7" s="1"/>
  <c r="N41" i="7"/>
  <c r="M41" i="7" s="1"/>
  <c r="Q41" i="7" s="1"/>
  <c r="N42" i="7"/>
  <c r="M42" i="7" s="1"/>
  <c r="Q42" i="7" s="1"/>
  <c r="N43" i="7"/>
  <c r="M43" i="7" s="1"/>
  <c r="N44" i="7"/>
  <c r="O44" i="7" s="1"/>
  <c r="N45" i="7"/>
  <c r="N46" i="7"/>
  <c r="M46" i="7" s="1"/>
  <c r="Q46" i="7" s="1"/>
  <c r="N47" i="7"/>
  <c r="M47" i="7" s="1"/>
  <c r="Q47" i="7" s="1"/>
  <c r="N48" i="7"/>
  <c r="M48" i="7" s="1"/>
  <c r="Q48" i="7" s="1"/>
  <c r="N49" i="7"/>
  <c r="O49" i="7" s="1"/>
  <c r="N50" i="7"/>
  <c r="M50" i="7" s="1"/>
  <c r="Q50" i="7" s="1"/>
  <c r="N51" i="7"/>
  <c r="O51" i="7" s="1"/>
  <c r="N52" i="7"/>
  <c r="O52" i="7" s="1"/>
  <c r="N53" i="7"/>
  <c r="N54" i="7"/>
  <c r="M54" i="7" s="1"/>
  <c r="Q54" i="7" s="1"/>
  <c r="N55" i="7"/>
  <c r="M55" i="7" s="1"/>
  <c r="Q55" i="7" s="1"/>
  <c r="N56" i="7"/>
  <c r="M56" i="7" s="1"/>
  <c r="Q56" i="7" s="1"/>
  <c r="N57" i="7"/>
  <c r="O57" i="7" s="1"/>
  <c r="N58" i="7"/>
  <c r="M58" i="7" s="1"/>
  <c r="Q58" i="7" s="1"/>
  <c r="N59" i="7"/>
  <c r="M59" i="7" s="1"/>
  <c r="N60" i="7"/>
  <c r="N61" i="7"/>
  <c r="N62" i="7"/>
  <c r="O62" i="7" s="1"/>
  <c r="N63" i="7"/>
  <c r="M63" i="7" s="1"/>
  <c r="Q63" i="7" s="1"/>
  <c r="N64" i="7"/>
  <c r="M64" i="7" s="1"/>
  <c r="Q64" i="7" s="1"/>
  <c r="N65" i="7"/>
  <c r="M65" i="7" s="1"/>
  <c r="Q65" i="7" s="1"/>
  <c r="N66" i="7"/>
  <c r="M66" i="7" s="1"/>
  <c r="Q66" i="7" s="1"/>
  <c r="N67" i="7"/>
  <c r="M67" i="7" s="1"/>
  <c r="N68" i="7"/>
  <c r="O68" i="7" s="1"/>
  <c r="N69" i="7"/>
  <c r="O69" i="7" s="1"/>
  <c r="N70" i="7"/>
  <c r="O70" i="7" s="1"/>
  <c r="N71" i="7"/>
  <c r="M71" i="7" s="1"/>
  <c r="Q71" i="7" s="1"/>
  <c r="N72" i="7"/>
  <c r="O72" i="7" s="1"/>
  <c r="N73" i="7"/>
  <c r="M73" i="7" s="1"/>
  <c r="Q73" i="7" s="1"/>
  <c r="N74" i="7"/>
  <c r="M74" i="7" s="1"/>
  <c r="Q74" i="7" s="1"/>
  <c r="N75" i="7"/>
  <c r="M75" i="7" s="1"/>
  <c r="N76" i="7"/>
  <c r="N77" i="7"/>
  <c r="N78" i="7"/>
  <c r="O78" i="7" s="1"/>
  <c r="N79" i="7"/>
  <c r="M79" i="7" s="1"/>
  <c r="Q79" i="7" s="1"/>
  <c r="N80" i="7"/>
  <c r="M80" i="7" s="1"/>
  <c r="Q80" i="7" s="1"/>
  <c r="N81" i="7"/>
  <c r="M81" i="7" s="1"/>
  <c r="Q81" i="7" s="1"/>
  <c r="N82" i="7"/>
  <c r="M82" i="7" s="1"/>
  <c r="Q82" i="7" s="1"/>
  <c r="N83" i="7"/>
  <c r="M83" i="7" s="1"/>
  <c r="N84" i="7"/>
  <c r="N85" i="7"/>
  <c r="N86" i="7"/>
  <c r="M86" i="7" s="1"/>
  <c r="Q86" i="7" s="1"/>
  <c r="N87" i="7"/>
  <c r="M87" i="7" s="1"/>
  <c r="Q87" i="7" s="1"/>
  <c r="N88" i="7"/>
  <c r="M88" i="7" s="1"/>
  <c r="Q88" i="7" s="1"/>
  <c r="N89" i="7"/>
  <c r="M89" i="7" s="1"/>
  <c r="Q89" i="7" s="1"/>
  <c r="N90" i="7"/>
  <c r="M90" i="7" s="1"/>
  <c r="Q90" i="7" s="1"/>
  <c r="N91" i="7"/>
  <c r="M91" i="7" s="1"/>
  <c r="N92" i="7"/>
  <c r="O92" i="7" s="1"/>
  <c r="N93" i="7"/>
  <c r="N94" i="7"/>
  <c r="M94" i="7" s="1"/>
  <c r="Q94" i="7" s="1"/>
  <c r="N95" i="7"/>
  <c r="N96" i="7"/>
  <c r="M96" i="7" s="1"/>
  <c r="Q96" i="7" s="1"/>
  <c r="N97" i="7"/>
  <c r="M97" i="7" s="1"/>
  <c r="Q97" i="7" s="1"/>
  <c r="N98" i="7"/>
  <c r="O98" i="7" s="1"/>
  <c r="N99" i="7"/>
  <c r="M99" i="7" s="1"/>
  <c r="Q99" i="7" s="1"/>
  <c r="N100" i="7"/>
  <c r="N101" i="7"/>
  <c r="N102" i="7"/>
  <c r="M102" i="7" s="1"/>
  <c r="Q102" i="7" s="1"/>
  <c r="N103" i="7"/>
  <c r="N104" i="7"/>
  <c r="M104" i="7" s="1"/>
  <c r="Q104" i="7" s="1"/>
  <c r="N105" i="7"/>
  <c r="O105" i="7" s="1"/>
  <c r="N106" i="7"/>
  <c r="M106" i="7" s="1"/>
  <c r="Q106" i="7" s="1"/>
  <c r="N107" i="7"/>
  <c r="M107" i="7" s="1"/>
  <c r="Q107" i="7" s="1"/>
  <c r="N108" i="7"/>
  <c r="N109" i="7"/>
  <c r="N110" i="7"/>
  <c r="M110" i="7" s="1"/>
  <c r="Q110" i="7" s="1"/>
  <c r="N111" i="7"/>
  <c r="N112" i="7"/>
  <c r="M112" i="7" s="1"/>
  <c r="Q112" i="7" s="1"/>
  <c r="N113" i="7"/>
  <c r="M113" i="7" s="1"/>
  <c r="Q113" i="7" s="1"/>
  <c r="N114" i="7"/>
  <c r="M114" i="7" s="1"/>
  <c r="Q114" i="7" s="1"/>
  <c r="N115" i="7"/>
  <c r="M115" i="7" s="1"/>
  <c r="Q115" i="7" s="1"/>
  <c r="N116" i="7"/>
  <c r="N117" i="7"/>
  <c r="N118" i="7"/>
  <c r="M118" i="7" s="1"/>
  <c r="Q118" i="7" s="1"/>
  <c r="N119" i="7"/>
  <c r="O119" i="7" s="1"/>
  <c r="N120" i="7"/>
  <c r="M120" i="7" s="1"/>
  <c r="Q120" i="7" s="1"/>
  <c r="N121" i="7"/>
  <c r="O121" i="7" s="1"/>
  <c r="N122" i="7"/>
  <c r="M122" i="7" s="1"/>
  <c r="Q122" i="7" s="1"/>
  <c r="N123" i="7"/>
  <c r="M123" i="7" s="1"/>
  <c r="Q123" i="7" s="1"/>
  <c r="N124" i="7"/>
  <c r="N125" i="7"/>
  <c r="N126" i="7"/>
  <c r="M126" i="7" s="1"/>
  <c r="Q126" i="7" s="1"/>
  <c r="N127" i="7"/>
  <c r="N128" i="7"/>
  <c r="M128" i="7" s="1"/>
  <c r="Q128" i="7" s="1"/>
  <c r="N129" i="7"/>
  <c r="M129" i="7" s="1"/>
  <c r="Q129" i="7" s="1"/>
  <c r="N130" i="7"/>
  <c r="M130" i="7" s="1"/>
  <c r="Q130" i="7" s="1"/>
  <c r="N131" i="7"/>
  <c r="N132" i="7"/>
  <c r="O132" i="7" s="1"/>
  <c r="N133" i="7"/>
  <c r="O133" i="7" s="1"/>
  <c r="N134" i="7"/>
  <c r="M134" i="7" s="1"/>
  <c r="Q134" i="7" s="1"/>
  <c r="N135" i="7"/>
  <c r="N136" i="7"/>
  <c r="M136" i="7" s="1"/>
  <c r="Q136" i="7" s="1"/>
  <c r="N137" i="7"/>
  <c r="M137" i="7" s="1"/>
  <c r="Q137" i="7" s="1"/>
  <c r="N138" i="7"/>
  <c r="M138" i="7" s="1"/>
  <c r="Q138" i="7" s="1"/>
  <c r="N139" i="7"/>
  <c r="N140" i="7"/>
  <c r="N141" i="7"/>
  <c r="N142" i="7"/>
  <c r="M142" i="7" s="1"/>
  <c r="Q142" i="7" s="1"/>
  <c r="N143" i="7"/>
  <c r="N144" i="7"/>
  <c r="M144" i="7" s="1"/>
  <c r="Q144" i="7" s="1"/>
  <c r="N145" i="7"/>
  <c r="M145" i="7" s="1"/>
  <c r="Q145" i="7" s="1"/>
  <c r="N146" i="7"/>
  <c r="M146" i="7" s="1"/>
  <c r="Q146" i="7" s="1"/>
  <c r="N147" i="7"/>
  <c r="O147" i="7" s="1"/>
  <c r="N148" i="7"/>
  <c r="O148" i="7" s="1"/>
  <c r="N149" i="7"/>
  <c r="O149" i="7" s="1"/>
  <c r="N150" i="7"/>
  <c r="M150" i="7" s="1"/>
  <c r="Q150" i="7" s="1"/>
  <c r="N151" i="7"/>
  <c r="N152" i="7"/>
  <c r="M152" i="7" s="1"/>
  <c r="Q152" i="7" s="1"/>
  <c r="N153" i="7"/>
  <c r="M153" i="7" s="1"/>
  <c r="Q153" i="7" s="1"/>
  <c r="N154" i="7"/>
  <c r="M154" i="7" s="1"/>
  <c r="Q154" i="7" s="1"/>
  <c r="N155" i="7"/>
  <c r="N156" i="7"/>
  <c r="N157" i="7"/>
  <c r="N158" i="7"/>
  <c r="M158" i="7" s="1"/>
  <c r="Q158" i="7" s="1"/>
  <c r="N159" i="7"/>
  <c r="N160" i="7"/>
  <c r="M160" i="7" s="1"/>
  <c r="Q160" i="7" s="1"/>
  <c r="N161" i="7"/>
  <c r="M161" i="7" s="1"/>
  <c r="Q161" i="7" s="1"/>
  <c r="N162" i="7"/>
  <c r="M162" i="7" s="1"/>
  <c r="Q162" i="7" s="1"/>
  <c r="N163" i="7"/>
  <c r="N164" i="7"/>
  <c r="N165" i="7"/>
  <c r="O165" i="7" s="1"/>
  <c r="N166" i="7"/>
  <c r="M166" i="7" s="1"/>
  <c r="Q166" i="7" s="1"/>
  <c r="N167" i="7"/>
  <c r="N168" i="7"/>
  <c r="M168" i="7" s="1"/>
  <c r="Q168" i="7" s="1"/>
  <c r="N169" i="7"/>
  <c r="M169" i="7" s="1"/>
  <c r="Q169" i="7" s="1"/>
  <c r="N170" i="7"/>
  <c r="M170" i="7" s="1"/>
  <c r="Q170" i="7" s="1"/>
  <c r="N171" i="7"/>
  <c r="N172" i="7"/>
  <c r="N173" i="7"/>
  <c r="O173" i="7" s="1"/>
  <c r="N174" i="7"/>
  <c r="M174" i="7" s="1"/>
  <c r="Q174" i="7" s="1"/>
  <c r="N175" i="7"/>
  <c r="N176" i="7"/>
  <c r="O176" i="7" s="1"/>
  <c r="N177" i="7"/>
  <c r="M177" i="7" s="1"/>
  <c r="Q177" i="7" s="1"/>
  <c r="N178" i="7"/>
  <c r="M178" i="7" s="1"/>
  <c r="Q178" i="7" s="1"/>
  <c r="N179" i="7"/>
  <c r="N180" i="7"/>
  <c r="N181" i="7"/>
  <c r="O181" i="7" s="1"/>
  <c r="N182" i="7"/>
  <c r="M182" i="7" s="1"/>
  <c r="Q182" i="7" s="1"/>
  <c r="N183" i="7"/>
  <c r="N184" i="7"/>
  <c r="O184" i="7" s="1"/>
  <c r="N185" i="7"/>
  <c r="O185" i="7" s="1"/>
  <c r="N186" i="7"/>
  <c r="M186" i="7" s="1"/>
  <c r="Q186" i="7" s="1"/>
  <c r="N187" i="7"/>
  <c r="N188" i="7"/>
  <c r="O188" i="7" s="1"/>
  <c r="N189" i="7"/>
  <c r="N190" i="7"/>
  <c r="M190" i="7" s="1"/>
  <c r="Q190" i="7" s="1"/>
  <c r="N191" i="7"/>
  <c r="O191" i="7" s="1"/>
  <c r="N192" i="7"/>
  <c r="M192" i="7" s="1"/>
  <c r="Q192" i="7" s="1"/>
  <c r="N193" i="7"/>
  <c r="M193" i="7" s="1"/>
  <c r="Q193" i="7" s="1"/>
  <c r="N194" i="7"/>
  <c r="O194" i="7" s="1"/>
  <c r="N195" i="7"/>
  <c r="O195" i="7" s="1"/>
  <c r="N196" i="7"/>
  <c r="N197" i="7"/>
  <c r="O197" i="7" s="1"/>
  <c r="N198" i="7"/>
  <c r="M198" i="7" s="1"/>
  <c r="Q198" i="7" s="1"/>
  <c r="N199" i="7"/>
  <c r="O199" i="7" s="1"/>
  <c r="N200" i="7"/>
  <c r="M200" i="7" s="1"/>
  <c r="Q200" i="7" s="1"/>
  <c r="N201" i="7"/>
  <c r="O201" i="7" s="1"/>
  <c r="N202" i="7"/>
  <c r="M202" i="7" s="1"/>
  <c r="Q202" i="7" s="1"/>
  <c r="N203" i="7"/>
  <c r="N204" i="7"/>
  <c r="N205" i="7"/>
  <c r="N206" i="7"/>
  <c r="M206" i="7" s="1"/>
  <c r="Q206" i="7" s="1"/>
  <c r="N207" i="7"/>
  <c r="N208" i="7"/>
  <c r="M208" i="7" s="1"/>
  <c r="Q208" i="7" s="1"/>
  <c r="N209" i="7"/>
  <c r="M209" i="7" s="1"/>
  <c r="Q209" i="7" s="1"/>
  <c r="N210" i="7"/>
  <c r="M210" i="7" s="1"/>
  <c r="Q210" i="7" s="1"/>
  <c r="N211" i="7"/>
  <c r="O211" i="7" s="1"/>
  <c r="N212" i="7"/>
  <c r="N213" i="7"/>
  <c r="N214" i="7"/>
  <c r="M214" i="7" s="1"/>
  <c r="Q214" i="7" s="1"/>
  <c r="N215" i="7"/>
  <c r="N216" i="7"/>
  <c r="O216" i="7" s="1"/>
  <c r="N217" i="7"/>
  <c r="O217" i="7" s="1"/>
  <c r="N218" i="7"/>
  <c r="M218" i="7" s="1"/>
  <c r="Q218" i="7" s="1"/>
  <c r="N219" i="7"/>
  <c r="O219" i="7" s="1"/>
  <c r="N220" i="7"/>
  <c r="N221" i="7"/>
  <c r="O221" i="7" s="1"/>
  <c r="N222" i="7"/>
  <c r="O222" i="7" s="1"/>
  <c r="N223" i="7"/>
  <c r="N224" i="7"/>
  <c r="M224" i="7" s="1"/>
  <c r="Q224" i="7" s="1"/>
  <c r="N225" i="7"/>
  <c r="M225" i="7" s="1"/>
  <c r="Q225" i="7" s="1"/>
  <c r="N226" i="7"/>
  <c r="O226" i="7" s="1"/>
  <c r="N227" i="7"/>
  <c r="N228" i="7"/>
  <c r="N229" i="7"/>
  <c r="N230" i="7"/>
  <c r="M230" i="7" s="1"/>
  <c r="Q230" i="7" s="1"/>
  <c r="N231" i="7"/>
  <c r="N232" i="7"/>
  <c r="M232" i="7" s="1"/>
  <c r="Q232" i="7" s="1"/>
  <c r="N233" i="7"/>
  <c r="M233" i="7" s="1"/>
  <c r="Q233" i="7" s="1"/>
  <c r="N234" i="7"/>
  <c r="M234" i="7" s="1"/>
  <c r="Q234" i="7" s="1"/>
  <c r="N235" i="7"/>
  <c r="N236" i="7"/>
  <c r="N237" i="7"/>
  <c r="O237" i="7" s="1"/>
  <c r="N238" i="7"/>
  <c r="M238" i="7" s="1"/>
  <c r="Q238" i="7" s="1"/>
  <c r="N239" i="7"/>
  <c r="N240" i="7"/>
  <c r="O240" i="7" s="1"/>
  <c r="N241" i="7"/>
  <c r="O241" i="7" s="1"/>
  <c r="N242" i="7"/>
  <c r="N243" i="7"/>
  <c r="N244" i="7"/>
  <c r="N245" i="7"/>
  <c r="O245" i="7" s="1"/>
  <c r="N246" i="7"/>
  <c r="O246" i="7" s="1"/>
  <c r="N247" i="7"/>
  <c r="N248" i="7"/>
  <c r="O248" i="7" s="1"/>
  <c r="N249" i="7"/>
  <c r="O249" i="7" s="1"/>
  <c r="N250" i="7"/>
  <c r="N251" i="7"/>
  <c r="N252" i="7"/>
  <c r="N253" i="7"/>
  <c r="N254" i="7"/>
  <c r="M254" i="7" s="1"/>
  <c r="Q254" i="7" s="1"/>
  <c r="N255" i="7"/>
  <c r="N256" i="7"/>
  <c r="O256" i="7" s="1"/>
  <c r="N257" i="7"/>
  <c r="O257" i="7" s="1"/>
  <c r="N258" i="7"/>
  <c r="N259" i="7"/>
  <c r="O259" i="7" s="1"/>
  <c r="N260" i="7"/>
  <c r="O260" i="7" s="1"/>
  <c r="N261" i="7"/>
  <c r="N262" i="7"/>
  <c r="M262" i="7" s="1"/>
  <c r="Q262" i="7" s="1"/>
  <c r="N263" i="7"/>
  <c r="N264" i="7"/>
  <c r="M264" i="7" s="1"/>
  <c r="Q264" i="7" s="1"/>
  <c r="N265" i="7"/>
  <c r="O265" i="7" s="1"/>
  <c r="N266" i="7"/>
  <c r="N267" i="7"/>
  <c r="N268" i="7"/>
  <c r="O268" i="7" s="1"/>
  <c r="N269" i="7"/>
  <c r="O269" i="7" s="1"/>
  <c r="N270" i="7"/>
  <c r="M270" i="7" s="1"/>
  <c r="Q270" i="7" s="1"/>
  <c r="N271" i="7"/>
  <c r="N272" i="7"/>
  <c r="O272" i="7" s="1"/>
  <c r="N273" i="7"/>
  <c r="O273" i="7" s="1"/>
  <c r="N274" i="7"/>
  <c r="O274" i="7" s="1"/>
  <c r="N275" i="7"/>
  <c r="N276" i="7"/>
  <c r="N277" i="7"/>
  <c r="N278" i="7"/>
  <c r="O278" i="7" s="1"/>
  <c r="N279" i="7"/>
  <c r="N280" i="7"/>
  <c r="O280" i="7" s="1"/>
  <c r="N281" i="7"/>
  <c r="M281" i="7" s="1"/>
  <c r="Q281" i="7" s="1"/>
  <c r="N282" i="7"/>
  <c r="N283" i="7"/>
  <c r="N284" i="7"/>
  <c r="N285" i="7"/>
  <c r="M285" i="7" s="1"/>
  <c r="Q285" i="7" s="1"/>
  <c r="N286" i="7"/>
  <c r="M286" i="7" s="1"/>
  <c r="Q286" i="7" s="1"/>
  <c r="N287" i="7"/>
  <c r="N288" i="7"/>
  <c r="M288" i="7" s="1"/>
  <c r="Q288" i="7" s="1"/>
  <c r="N289" i="7"/>
  <c r="M289" i="7" s="1"/>
  <c r="Q289" i="7" s="1"/>
  <c r="N290" i="7"/>
  <c r="N291" i="7"/>
  <c r="N292" i="7"/>
  <c r="N293" i="7"/>
  <c r="M293" i="7" s="1"/>
  <c r="Q293" i="7" s="1"/>
  <c r="N294" i="7"/>
  <c r="M294" i="7" s="1"/>
  <c r="Q294" i="7" s="1"/>
  <c r="N295" i="7"/>
  <c r="N296" i="7"/>
  <c r="O296" i="7" s="1"/>
  <c r="N297" i="7"/>
  <c r="O297" i="7" s="1"/>
  <c r="N298" i="7"/>
  <c r="N299" i="7"/>
  <c r="N300" i="7"/>
  <c r="N301" i="7"/>
  <c r="M301" i="7" s="1"/>
  <c r="Q301" i="7" s="1"/>
  <c r="N302" i="7"/>
  <c r="M302" i="7" s="1"/>
  <c r="Q302" i="7" s="1"/>
  <c r="N303" i="7"/>
  <c r="O303" i="7" s="1"/>
  <c r="N304" i="7"/>
  <c r="O304" i="7" s="1"/>
  <c r="N305" i="7"/>
  <c r="M305" i="7" s="1"/>
  <c r="Q305" i="7" s="1"/>
  <c r="N306" i="7"/>
  <c r="N307" i="7"/>
  <c r="N308" i="7"/>
  <c r="O308" i="7" s="1"/>
  <c r="N309" i="7"/>
  <c r="O309" i="7" s="1"/>
  <c r="N310" i="7"/>
  <c r="O310" i="7" s="1"/>
  <c r="N311" i="7"/>
  <c r="N312" i="7"/>
  <c r="O312" i="7" s="1"/>
  <c r="N313" i="7"/>
  <c r="M313" i="7" s="1"/>
  <c r="Q313" i="7" s="1"/>
  <c r="N314" i="7"/>
  <c r="N315" i="7"/>
  <c r="N316" i="7"/>
  <c r="O316" i="7" s="1"/>
  <c r="N317" i="7"/>
  <c r="M317" i="7" s="1"/>
  <c r="Q317" i="7" s="1"/>
  <c r="N318" i="7"/>
  <c r="M318" i="7" s="1"/>
  <c r="Q318" i="7" s="1"/>
  <c r="N319" i="7"/>
  <c r="N320" i="7"/>
  <c r="O320" i="7" s="1"/>
  <c r="N321" i="7"/>
  <c r="M321" i="7" s="1"/>
  <c r="Q321" i="7" s="1"/>
  <c r="N322" i="7"/>
  <c r="N323" i="7"/>
  <c r="N324" i="7"/>
  <c r="N325" i="7"/>
  <c r="M325" i="7" s="1"/>
  <c r="Q325" i="7" s="1"/>
  <c r="N326" i="7"/>
  <c r="N327" i="7"/>
  <c r="N328" i="7"/>
  <c r="M328" i="7" s="1"/>
  <c r="Q328" i="7" s="1"/>
  <c r="N329" i="7"/>
  <c r="M329" i="7" s="1"/>
  <c r="Q329" i="7" s="1"/>
  <c r="N330" i="7"/>
  <c r="N331" i="7"/>
  <c r="N332" i="7"/>
  <c r="N333" i="7"/>
  <c r="M333" i="7" s="1"/>
  <c r="Q333" i="7" s="1"/>
  <c r="N334" i="7"/>
  <c r="O334" i="7" s="1"/>
  <c r="N335" i="7"/>
  <c r="N336" i="7"/>
  <c r="M336" i="7" s="1"/>
  <c r="Q336" i="7" s="1"/>
  <c r="N337" i="7"/>
  <c r="O337" i="7" s="1"/>
  <c r="N338" i="7"/>
  <c r="N339" i="7"/>
  <c r="O339" i="7" s="1"/>
  <c r="N340" i="7"/>
  <c r="N341" i="7"/>
  <c r="N342" i="7"/>
  <c r="N343" i="7"/>
  <c r="N344" i="7"/>
  <c r="O344" i="7" s="1"/>
  <c r="N345" i="7"/>
  <c r="M345" i="7" s="1"/>
  <c r="Q345" i="7" s="1"/>
  <c r="N346" i="7"/>
  <c r="N347" i="7"/>
  <c r="N348" i="7"/>
  <c r="N349" i="7"/>
  <c r="O349" i="7" s="1"/>
  <c r="N350" i="7"/>
  <c r="N351" i="7"/>
  <c r="N352" i="7"/>
  <c r="O352" i="7" s="1"/>
  <c r="N353" i="7"/>
  <c r="M353" i="7" s="1"/>
  <c r="Q353" i="7" s="1"/>
  <c r="N354" i="7"/>
  <c r="N355" i="7"/>
  <c r="N356" i="7"/>
  <c r="N357" i="7"/>
  <c r="N358" i="7"/>
  <c r="O358" i="7" s="1"/>
  <c r="N359" i="7"/>
  <c r="O359" i="7" s="1"/>
  <c r="N360" i="7"/>
  <c r="O360" i="7" s="1"/>
  <c r="N361" i="7"/>
  <c r="O361" i="7" s="1"/>
  <c r="N362" i="7"/>
  <c r="N363" i="7"/>
  <c r="N364" i="7"/>
  <c r="N365" i="7"/>
  <c r="O365" i="7" s="1"/>
  <c r="N366" i="7"/>
  <c r="N367" i="7"/>
  <c r="N368" i="7"/>
  <c r="M368" i="7" s="1"/>
  <c r="Q368" i="7" s="1"/>
  <c r="N369" i="7"/>
  <c r="M369" i="7" s="1"/>
  <c r="Q369" i="7" s="1"/>
  <c r="N370" i="7"/>
  <c r="N371" i="7"/>
  <c r="N372" i="7"/>
  <c r="N373" i="7"/>
  <c r="N374" i="7"/>
  <c r="N375" i="7"/>
  <c r="N376" i="7"/>
  <c r="M376" i="7" s="1"/>
  <c r="Q376" i="7" s="1"/>
  <c r="N377" i="7"/>
  <c r="M377" i="7" s="1"/>
  <c r="Q377" i="7" s="1"/>
  <c r="N378" i="7"/>
  <c r="N379" i="7"/>
  <c r="N380" i="7"/>
  <c r="N381" i="7"/>
  <c r="O381" i="7" s="1"/>
  <c r="N382" i="7"/>
  <c r="O382" i="7" s="1"/>
  <c r="N383" i="7"/>
  <c r="N384" i="7"/>
  <c r="O384" i="7" s="1"/>
  <c r="N385" i="7"/>
  <c r="M385" i="7" s="1"/>
  <c r="Q385" i="7" s="1"/>
  <c r="N386" i="7"/>
  <c r="N387" i="7"/>
  <c r="O387" i="7" s="1"/>
  <c r="N388" i="7"/>
  <c r="N389" i="7"/>
  <c r="N390" i="7"/>
  <c r="N391" i="7"/>
  <c r="O391" i="7" s="1"/>
  <c r="N392" i="7"/>
  <c r="M392" i="7" s="1"/>
  <c r="Q392" i="7" s="1"/>
  <c r="N393" i="7"/>
  <c r="M393" i="7" s="1"/>
  <c r="Q393" i="7" s="1"/>
  <c r="N394" i="7"/>
  <c r="O394" i="7" s="1"/>
  <c r="N395" i="7"/>
  <c r="O395" i="7" s="1"/>
  <c r="N396" i="7"/>
  <c r="N397" i="7"/>
  <c r="N398" i="7"/>
  <c r="O398" i="7" s="1"/>
  <c r="N399" i="7"/>
  <c r="N400" i="7"/>
  <c r="M400" i="7" s="1"/>
  <c r="Q400" i="7" s="1"/>
  <c r="N401" i="7"/>
  <c r="M401" i="7" s="1"/>
  <c r="Q401" i="7" s="1"/>
  <c r="N402" i="7"/>
  <c r="N403" i="7"/>
  <c r="O403" i="7" s="1"/>
  <c r="N404" i="7"/>
  <c r="N405" i="7"/>
  <c r="N406" i="7"/>
  <c r="O406" i="7" s="1"/>
  <c r="N407" i="7"/>
  <c r="N408" i="7"/>
  <c r="M408" i="7" s="1"/>
  <c r="Q408" i="7" s="1"/>
  <c r="N409" i="7"/>
  <c r="M409" i="7" s="1"/>
  <c r="Q409" i="7" s="1"/>
  <c r="N410" i="7"/>
  <c r="N411" i="7"/>
  <c r="N412" i="7"/>
  <c r="O412" i="7" s="1"/>
  <c r="N413" i="7"/>
  <c r="O413" i="7" s="1"/>
  <c r="N414" i="7"/>
  <c r="N415" i="7"/>
  <c r="N416" i="7"/>
  <c r="M416" i="7" s="1"/>
  <c r="Q416" i="7" s="1"/>
  <c r="N417" i="7"/>
  <c r="M417" i="7" s="1"/>
  <c r="Q417" i="7" s="1"/>
  <c r="N418" i="7"/>
  <c r="N419" i="7"/>
  <c r="N420" i="7"/>
  <c r="N421" i="7"/>
  <c r="N422" i="7"/>
  <c r="O422" i="7" s="1"/>
  <c r="N423" i="7"/>
  <c r="N424" i="7"/>
  <c r="M424" i="7" s="1"/>
  <c r="Q424" i="7" s="1"/>
  <c r="N425" i="7"/>
  <c r="O425" i="7" s="1"/>
  <c r="N426" i="7"/>
  <c r="N427" i="7"/>
  <c r="N428" i="7"/>
  <c r="N429" i="7"/>
  <c r="O429" i="7" s="1"/>
  <c r="N430" i="7"/>
  <c r="O430" i="7" s="1"/>
  <c r="N431" i="7"/>
  <c r="N432" i="7"/>
  <c r="O432" i="7" s="1"/>
  <c r="N433" i="7"/>
  <c r="M433" i="7" s="1"/>
  <c r="Q433" i="7" s="1"/>
  <c r="N434" i="7"/>
  <c r="N435" i="7"/>
  <c r="N436" i="7"/>
  <c r="N437" i="7"/>
  <c r="N438" i="7"/>
  <c r="N439" i="7"/>
  <c r="N440" i="7"/>
  <c r="M440" i="7" s="1"/>
  <c r="Q440" i="7" s="1"/>
  <c r="N441" i="7"/>
  <c r="O441" i="7" s="1"/>
  <c r="N442" i="7"/>
  <c r="O442" i="7" s="1"/>
  <c r="N443" i="7"/>
  <c r="N444" i="7"/>
  <c r="N445" i="7"/>
  <c r="N446" i="7"/>
  <c r="N447" i="7"/>
  <c r="N448" i="7"/>
  <c r="M448" i="7" s="1"/>
  <c r="Q448" i="7" s="1"/>
  <c r="N449" i="7"/>
  <c r="O449" i="7" s="1"/>
  <c r="N450" i="7"/>
  <c r="N451" i="7"/>
  <c r="O451" i="7" s="1"/>
  <c r="N452" i="7"/>
  <c r="N453" i="7"/>
  <c r="N454" i="7"/>
  <c r="N455" i="7"/>
  <c r="N456" i="7"/>
  <c r="O456" i="7" s="1"/>
  <c r="N457" i="7"/>
  <c r="M457" i="7" s="1"/>
  <c r="Q457" i="7" s="1"/>
  <c r="N458" i="7"/>
  <c r="N459" i="7"/>
  <c r="O459" i="7" s="1"/>
  <c r="N460" i="7"/>
  <c r="N461" i="7"/>
  <c r="O461" i="7" s="1"/>
  <c r="N462" i="7"/>
  <c r="N463" i="7"/>
  <c r="O463" i="7" s="1"/>
  <c r="N464" i="7"/>
  <c r="M464" i="7" s="1"/>
  <c r="Q464" i="7" s="1"/>
  <c r="N465" i="7"/>
  <c r="M465" i="7" s="1"/>
  <c r="Q465" i="7" s="1"/>
  <c r="N466" i="7"/>
  <c r="O466" i="7" s="1"/>
  <c r="N467" i="7"/>
  <c r="O467" i="7" s="1"/>
  <c r="N468" i="7"/>
  <c r="N469" i="7"/>
  <c r="N470" i="7"/>
  <c r="O470" i="7" s="1"/>
  <c r="N471" i="7"/>
  <c r="N472" i="7"/>
  <c r="M472" i="7" s="1"/>
  <c r="Q472" i="7" s="1"/>
  <c r="N473" i="7"/>
  <c r="M473" i="7" s="1"/>
  <c r="Q473" i="7" s="1"/>
  <c r="N474" i="7"/>
  <c r="N475" i="7"/>
  <c r="N476" i="7"/>
  <c r="N477" i="7"/>
  <c r="N478" i="7"/>
  <c r="N479" i="7"/>
  <c r="N480" i="7"/>
  <c r="M480" i="7" s="1"/>
  <c r="Q480" i="7" s="1"/>
  <c r="N481" i="7"/>
  <c r="M481" i="7" s="1"/>
  <c r="Q481" i="7" s="1"/>
  <c r="N482" i="7"/>
  <c r="N483" i="7"/>
  <c r="O483" i="7" s="1"/>
  <c r="N484" i="7"/>
  <c r="O484" i="7" s="1"/>
  <c r="N485" i="7"/>
  <c r="O485" i="7" s="1"/>
  <c r="N486" i="7"/>
  <c r="N487" i="7"/>
  <c r="N488" i="7"/>
  <c r="M488" i="7" s="1"/>
  <c r="Q488" i="7" s="1"/>
  <c r="N489" i="7"/>
  <c r="M489" i="7" s="1"/>
  <c r="Q489" i="7" s="1"/>
  <c r="N490" i="7"/>
  <c r="N491" i="7"/>
  <c r="N492" i="7"/>
  <c r="N493" i="7"/>
  <c r="N494" i="7"/>
  <c r="O494" i="7" s="1"/>
  <c r="N495" i="7"/>
  <c r="O495" i="7" s="1"/>
  <c r="N496" i="7"/>
  <c r="M496" i="7" s="1"/>
  <c r="Q496" i="7" s="1"/>
  <c r="N497" i="7"/>
  <c r="M497" i="7" s="1"/>
  <c r="Q497" i="7" s="1"/>
  <c r="N498" i="7"/>
  <c r="N499" i="7"/>
  <c r="N500" i="7"/>
  <c r="O500" i="7" s="1"/>
  <c r="N501" i="7"/>
  <c r="N502" i="7"/>
  <c r="N503" i="7"/>
  <c r="N504" i="7"/>
  <c r="O504" i="7" s="1"/>
  <c r="N505" i="7"/>
  <c r="M505" i="7" s="1"/>
  <c r="Q505" i="7" s="1"/>
  <c r="N506" i="7"/>
  <c r="O506" i="7" s="1"/>
  <c r="N507" i="7"/>
  <c r="N508" i="7"/>
  <c r="N509" i="7"/>
  <c r="N510" i="7"/>
  <c r="N511" i="7"/>
  <c r="N512" i="7"/>
  <c r="M512" i="7" s="1"/>
  <c r="Q512" i="7" s="1"/>
  <c r="N513" i="7"/>
  <c r="M513" i="7" s="1"/>
  <c r="Q513" i="7" s="1"/>
  <c r="N514" i="7"/>
  <c r="N515" i="7"/>
  <c r="N516" i="7"/>
  <c r="O516" i="7" s="1"/>
  <c r="N517" i="7"/>
  <c r="N518" i="7"/>
  <c r="N519" i="7"/>
  <c r="N520" i="7"/>
  <c r="O520" i="7" s="1"/>
  <c r="N521" i="7"/>
  <c r="O521" i="7" s="1"/>
  <c r="N522" i="7"/>
  <c r="N523" i="7"/>
  <c r="N524" i="7"/>
  <c r="N525" i="7"/>
  <c r="N2" i="7"/>
  <c r="O2" i="7" s="1"/>
  <c r="L3" i="7"/>
  <c r="P3" i="7" s="1"/>
  <c r="L4" i="7"/>
  <c r="P4" i="7" s="1"/>
  <c r="L5" i="7"/>
  <c r="P5" i="7" s="1"/>
  <c r="L6" i="7"/>
  <c r="P6" i="7" s="1"/>
  <c r="L7" i="7"/>
  <c r="L8" i="7"/>
  <c r="L9" i="7"/>
  <c r="P9" i="7" s="1"/>
  <c r="L10" i="7"/>
  <c r="P10" i="7" s="1"/>
  <c r="L11" i="7"/>
  <c r="P11" i="7" s="1"/>
  <c r="L12" i="7"/>
  <c r="L13" i="7"/>
  <c r="P13" i="7" s="1"/>
  <c r="L14" i="7"/>
  <c r="P14" i="7" s="1"/>
  <c r="L15" i="7"/>
  <c r="P15" i="7" s="1"/>
  <c r="L16" i="7"/>
  <c r="L17" i="7"/>
  <c r="P17" i="7" s="1"/>
  <c r="L18" i="7"/>
  <c r="P18" i="7" s="1"/>
  <c r="L19" i="7"/>
  <c r="P19" i="7" s="1"/>
  <c r="L20" i="7"/>
  <c r="L21" i="7"/>
  <c r="P21" i="7" s="1"/>
  <c r="L22" i="7"/>
  <c r="P22" i="7" s="1"/>
  <c r="L23" i="7"/>
  <c r="P23" i="7" s="1"/>
  <c r="L24" i="7"/>
  <c r="P24" i="7" s="1"/>
  <c r="L25" i="7"/>
  <c r="P25" i="7" s="1"/>
  <c r="L26" i="7"/>
  <c r="P26" i="7" s="1"/>
  <c r="L27" i="7"/>
  <c r="P27" i="7" s="1"/>
  <c r="L28" i="7"/>
  <c r="L29" i="7"/>
  <c r="L30" i="7"/>
  <c r="P30" i="7" s="1"/>
  <c r="L31" i="7"/>
  <c r="P31" i="7" s="1"/>
  <c r="L32" i="7"/>
  <c r="L33" i="7"/>
  <c r="P33" i="7" s="1"/>
  <c r="L34" i="7"/>
  <c r="P34" i="7" s="1"/>
  <c r="L35" i="7"/>
  <c r="P35" i="7" s="1"/>
  <c r="L36" i="7"/>
  <c r="L37" i="7"/>
  <c r="L38" i="7"/>
  <c r="P38" i="7" s="1"/>
  <c r="L39" i="7"/>
  <c r="P39" i="7" s="1"/>
  <c r="L40" i="7"/>
  <c r="L41" i="7"/>
  <c r="P41" i="7" s="1"/>
  <c r="L42" i="7"/>
  <c r="P42" i="7" s="1"/>
  <c r="L43" i="7"/>
  <c r="P43" i="7" s="1"/>
  <c r="L44" i="7"/>
  <c r="P44" i="7" s="1"/>
  <c r="L45" i="7"/>
  <c r="L46" i="7"/>
  <c r="P46" i="7" s="1"/>
  <c r="L47" i="7"/>
  <c r="L48" i="7"/>
  <c r="L49" i="7"/>
  <c r="P49" i="7" s="1"/>
  <c r="L50" i="7"/>
  <c r="P50" i="7" s="1"/>
  <c r="L51" i="7"/>
  <c r="P51" i="7" s="1"/>
  <c r="L52" i="7"/>
  <c r="P52" i="7" s="1"/>
  <c r="L53" i="7"/>
  <c r="L54" i="7"/>
  <c r="P54" i="7" s="1"/>
  <c r="L55" i="7"/>
  <c r="L56" i="7"/>
  <c r="L57" i="7"/>
  <c r="L58" i="7"/>
  <c r="P58" i="7" s="1"/>
  <c r="L59" i="7"/>
  <c r="P59" i="7" s="1"/>
  <c r="L60" i="7"/>
  <c r="P60" i="7" s="1"/>
  <c r="L61" i="7"/>
  <c r="L62" i="7"/>
  <c r="P62" i="7" s="1"/>
  <c r="L63" i="7"/>
  <c r="L64" i="7"/>
  <c r="L65" i="7"/>
  <c r="P65" i="7" s="1"/>
  <c r="L66" i="7"/>
  <c r="P66" i="7" s="1"/>
  <c r="L67" i="7"/>
  <c r="P67" i="7" s="1"/>
  <c r="L68" i="7"/>
  <c r="P68" i="7" s="1"/>
  <c r="L69" i="7"/>
  <c r="P69" i="7" s="1"/>
  <c r="L70" i="7"/>
  <c r="P70" i="7" s="1"/>
  <c r="L71" i="7"/>
  <c r="L72" i="7"/>
  <c r="P72" i="7" s="1"/>
  <c r="L73" i="7"/>
  <c r="P73" i="7" s="1"/>
  <c r="L74" i="7"/>
  <c r="P74" i="7" s="1"/>
  <c r="L75" i="7"/>
  <c r="P75" i="7" s="1"/>
  <c r="L76" i="7"/>
  <c r="L77" i="7"/>
  <c r="L78" i="7"/>
  <c r="P78" i="7" s="1"/>
  <c r="L79" i="7"/>
  <c r="L80" i="7"/>
  <c r="L81" i="7"/>
  <c r="P81" i="7" s="1"/>
  <c r="L82" i="7"/>
  <c r="P82" i="7" s="1"/>
  <c r="L83" i="7"/>
  <c r="P83" i="7" s="1"/>
  <c r="L84" i="7"/>
  <c r="P84" i="7" s="1"/>
  <c r="L85" i="7"/>
  <c r="L86" i="7"/>
  <c r="P86" i="7" s="1"/>
  <c r="L87" i="7"/>
  <c r="L88" i="7"/>
  <c r="L89" i="7"/>
  <c r="P89" i="7" s="1"/>
  <c r="L90" i="7"/>
  <c r="P90" i="7" s="1"/>
  <c r="L91" i="7"/>
  <c r="P91" i="7" s="1"/>
  <c r="L92" i="7"/>
  <c r="P92" i="7" s="1"/>
  <c r="L93" i="7"/>
  <c r="L94" i="7"/>
  <c r="P94" i="7" s="1"/>
  <c r="L95" i="7"/>
  <c r="L96" i="7"/>
  <c r="L97" i="7"/>
  <c r="P97" i="7" s="1"/>
  <c r="L98" i="7"/>
  <c r="L99" i="7"/>
  <c r="P99" i="7" s="1"/>
  <c r="L100" i="7"/>
  <c r="L101" i="7"/>
  <c r="L102" i="7"/>
  <c r="P102" i="7" s="1"/>
  <c r="L103" i="7"/>
  <c r="L104" i="7"/>
  <c r="L105" i="7"/>
  <c r="P105" i="7" s="1"/>
  <c r="L106" i="7"/>
  <c r="P106" i="7" s="1"/>
  <c r="L107" i="7"/>
  <c r="P107" i="7" s="1"/>
  <c r="L108" i="7"/>
  <c r="L109" i="7"/>
  <c r="P109" i="7" s="1"/>
  <c r="L110" i="7"/>
  <c r="P110" i="7" s="1"/>
  <c r="L111" i="7"/>
  <c r="L112" i="7"/>
  <c r="L113" i="7"/>
  <c r="P113" i="7" s="1"/>
  <c r="L114" i="7"/>
  <c r="P114" i="7" s="1"/>
  <c r="L115" i="7"/>
  <c r="L116" i="7"/>
  <c r="L117" i="7"/>
  <c r="L118" i="7"/>
  <c r="P118" i="7" s="1"/>
  <c r="L119" i="7"/>
  <c r="P119" i="7" s="1"/>
  <c r="L120" i="7"/>
  <c r="L121" i="7"/>
  <c r="L122" i="7"/>
  <c r="P122" i="7" s="1"/>
  <c r="L123" i="7"/>
  <c r="L124" i="7"/>
  <c r="L125" i="7"/>
  <c r="L126" i="7"/>
  <c r="P126" i="7" s="1"/>
  <c r="L127" i="7"/>
  <c r="L128" i="7"/>
  <c r="L129" i="7"/>
  <c r="P129" i="7" s="1"/>
  <c r="L130" i="7"/>
  <c r="P130" i="7" s="1"/>
  <c r="L131" i="7"/>
  <c r="L132" i="7"/>
  <c r="P132" i="7" s="1"/>
  <c r="L133" i="7"/>
  <c r="P133" i="7" s="1"/>
  <c r="L134" i="7"/>
  <c r="P134" i="7" s="1"/>
  <c r="L135" i="7"/>
  <c r="L136" i="7"/>
  <c r="L137" i="7"/>
  <c r="P137" i="7" s="1"/>
  <c r="L138" i="7"/>
  <c r="P138" i="7" s="1"/>
  <c r="L139" i="7"/>
  <c r="L140" i="7"/>
  <c r="L141" i="7"/>
  <c r="L142" i="7"/>
  <c r="P142" i="7" s="1"/>
  <c r="L143" i="7"/>
  <c r="L144" i="7"/>
  <c r="L145" i="7"/>
  <c r="P145" i="7" s="1"/>
  <c r="L146" i="7"/>
  <c r="P146" i="7" s="1"/>
  <c r="L147" i="7"/>
  <c r="P147" i="7" s="1"/>
  <c r="L148" i="7"/>
  <c r="P148" i="7" s="1"/>
  <c r="L149" i="7"/>
  <c r="L150" i="7"/>
  <c r="P150" i="7" s="1"/>
  <c r="L151" i="7"/>
  <c r="L152" i="7"/>
  <c r="L153" i="7"/>
  <c r="P153" i="7" s="1"/>
  <c r="L154" i="7"/>
  <c r="P154" i="7" s="1"/>
  <c r="L155" i="7"/>
  <c r="L156" i="7"/>
  <c r="L157" i="7"/>
  <c r="L158" i="7"/>
  <c r="P158" i="7" s="1"/>
  <c r="L159" i="7"/>
  <c r="L160" i="7"/>
  <c r="L161" i="7"/>
  <c r="P161" i="7" s="1"/>
  <c r="L162" i="7"/>
  <c r="P162" i="7" s="1"/>
  <c r="L163" i="7"/>
  <c r="L164" i="7"/>
  <c r="L165" i="7"/>
  <c r="L166" i="7"/>
  <c r="P166" i="7" s="1"/>
  <c r="L167" i="7"/>
  <c r="L168" i="7"/>
  <c r="L169" i="7"/>
  <c r="L170" i="7"/>
  <c r="P170" i="7" s="1"/>
  <c r="L171" i="7"/>
  <c r="P171" i="7" s="1"/>
  <c r="L172" i="7"/>
  <c r="L173" i="7"/>
  <c r="P173" i="7" s="1"/>
  <c r="L174" i="7"/>
  <c r="P174" i="7" s="1"/>
  <c r="L175" i="7"/>
  <c r="L176" i="7"/>
  <c r="P176" i="7" s="1"/>
  <c r="L177" i="7"/>
  <c r="L178" i="7"/>
  <c r="P178" i="7" s="1"/>
  <c r="L179" i="7"/>
  <c r="L180" i="7"/>
  <c r="L181" i="7"/>
  <c r="P181" i="7" s="1"/>
  <c r="L182" i="7"/>
  <c r="P182" i="7" s="1"/>
  <c r="L183" i="7"/>
  <c r="L184" i="7"/>
  <c r="L185" i="7"/>
  <c r="L186" i="7"/>
  <c r="P186" i="7" s="1"/>
  <c r="L187" i="7"/>
  <c r="L188" i="7"/>
  <c r="P188" i="7" s="1"/>
  <c r="L189" i="7"/>
  <c r="L190" i="7"/>
  <c r="P190" i="7" s="1"/>
  <c r="L191" i="7"/>
  <c r="P191" i="7" s="1"/>
  <c r="L192" i="7"/>
  <c r="L193" i="7"/>
  <c r="L194" i="7"/>
  <c r="P194" i="7" s="1"/>
  <c r="L195" i="7"/>
  <c r="P195" i="7" s="1"/>
  <c r="L196" i="7"/>
  <c r="L197" i="7"/>
  <c r="P197" i="7" s="1"/>
  <c r="L198" i="7"/>
  <c r="P198" i="7" s="1"/>
  <c r="L199" i="7"/>
  <c r="L200" i="7"/>
  <c r="L201" i="7"/>
  <c r="L202" i="7"/>
  <c r="P202" i="7" s="1"/>
  <c r="L203" i="7"/>
  <c r="L204" i="7"/>
  <c r="L205" i="7"/>
  <c r="L206" i="7"/>
  <c r="P206" i="7" s="1"/>
  <c r="L207" i="7"/>
  <c r="L208" i="7"/>
  <c r="L209" i="7"/>
  <c r="L210" i="7"/>
  <c r="P210" i="7" s="1"/>
  <c r="L211" i="7"/>
  <c r="P211" i="7" s="1"/>
  <c r="L212" i="7"/>
  <c r="P212" i="7" s="1"/>
  <c r="L213" i="7"/>
  <c r="L214" i="7"/>
  <c r="P214" i="7" s="1"/>
  <c r="L215" i="7"/>
  <c r="L216" i="7"/>
  <c r="P216" i="7" s="1"/>
  <c r="L217" i="7"/>
  <c r="L218" i="7"/>
  <c r="P218" i="7" s="1"/>
  <c r="L219" i="7"/>
  <c r="P219" i="7" s="1"/>
  <c r="L220" i="7"/>
  <c r="L221" i="7"/>
  <c r="P221" i="7" s="1"/>
  <c r="L222" i="7"/>
  <c r="P222" i="7" s="1"/>
  <c r="L223" i="7"/>
  <c r="L224" i="7"/>
  <c r="L225" i="7"/>
  <c r="L226" i="7"/>
  <c r="P226" i="7" s="1"/>
  <c r="L227" i="7"/>
  <c r="L228" i="7"/>
  <c r="L229" i="7"/>
  <c r="L230" i="7"/>
  <c r="P230" i="7" s="1"/>
  <c r="L231" i="7"/>
  <c r="L232" i="7"/>
  <c r="L233" i="7"/>
  <c r="L234" i="7"/>
  <c r="L235" i="7"/>
  <c r="L236" i="7"/>
  <c r="L237" i="7"/>
  <c r="P237" i="7" s="1"/>
  <c r="L238" i="7"/>
  <c r="P238" i="7" s="1"/>
  <c r="L239" i="7"/>
  <c r="L240" i="7"/>
  <c r="L241" i="7"/>
  <c r="L242" i="7"/>
  <c r="L243" i="7"/>
  <c r="L244" i="7"/>
  <c r="L245" i="7"/>
  <c r="P245" i="7" s="1"/>
  <c r="L246" i="7"/>
  <c r="P246" i="7" s="1"/>
  <c r="L247" i="7"/>
  <c r="P247" i="7" s="1"/>
  <c r="L248" i="7"/>
  <c r="P248" i="7" s="1"/>
  <c r="L249" i="7"/>
  <c r="L250" i="7"/>
  <c r="L251" i="7"/>
  <c r="L252" i="7"/>
  <c r="L253" i="7"/>
  <c r="L254" i="7"/>
  <c r="P254" i="7" s="1"/>
  <c r="L255" i="7"/>
  <c r="L256" i="7"/>
  <c r="L257" i="7"/>
  <c r="L258" i="7"/>
  <c r="L259" i="7"/>
  <c r="P259" i="7" s="1"/>
  <c r="L260" i="7"/>
  <c r="P260" i="7" s="1"/>
  <c r="L261" i="7"/>
  <c r="L262" i="7"/>
  <c r="L263" i="7"/>
  <c r="L264" i="7"/>
  <c r="L265" i="7"/>
  <c r="L266" i="7"/>
  <c r="L267" i="7"/>
  <c r="L268" i="7"/>
  <c r="P268" i="7" s="1"/>
  <c r="L269" i="7"/>
  <c r="P269" i="7" s="1"/>
  <c r="L270" i="7"/>
  <c r="P270" i="7" s="1"/>
  <c r="L271" i="7"/>
  <c r="L272" i="7"/>
  <c r="L273" i="7"/>
  <c r="P273" i="7" s="1"/>
  <c r="L274" i="7"/>
  <c r="P274" i="7" s="1"/>
  <c r="L275" i="7"/>
  <c r="L276" i="7"/>
  <c r="L277" i="7"/>
  <c r="L278" i="7"/>
  <c r="P278" i="7" s="1"/>
  <c r="L279" i="7"/>
  <c r="L280" i="7"/>
  <c r="L281" i="7"/>
  <c r="L282" i="7"/>
  <c r="L283" i="7"/>
  <c r="L284" i="7"/>
  <c r="L285" i="7"/>
  <c r="P285" i="7" s="1"/>
  <c r="L286" i="7"/>
  <c r="P286" i="7" s="1"/>
  <c r="L287" i="7"/>
  <c r="L288" i="7"/>
  <c r="L289" i="7"/>
  <c r="L290" i="7"/>
  <c r="L291" i="7"/>
  <c r="L292" i="7"/>
  <c r="L293" i="7"/>
  <c r="P293" i="7" s="1"/>
  <c r="L294" i="7"/>
  <c r="P294" i="7" s="1"/>
  <c r="L295" i="7"/>
  <c r="P295" i="7" s="1"/>
  <c r="L296" i="7"/>
  <c r="P296" i="7" s="1"/>
  <c r="L297" i="7"/>
  <c r="P297" i="7" s="1"/>
  <c r="L298" i="7"/>
  <c r="L299" i="7"/>
  <c r="L300" i="7"/>
  <c r="L301" i="7"/>
  <c r="P301" i="7" s="1"/>
  <c r="L302" i="7"/>
  <c r="P302" i="7" s="1"/>
  <c r="L303" i="7"/>
  <c r="P303" i="7" s="1"/>
  <c r="L304" i="7"/>
  <c r="P304" i="7" s="1"/>
  <c r="L305" i="7"/>
  <c r="P305" i="7" s="1"/>
  <c r="L306" i="7"/>
  <c r="L307" i="7"/>
  <c r="L308" i="7"/>
  <c r="P308" i="7" s="1"/>
  <c r="L309" i="7"/>
  <c r="P309" i="7" s="1"/>
  <c r="L310" i="7"/>
  <c r="P310" i="7" s="1"/>
  <c r="L311" i="7"/>
  <c r="L312" i="7"/>
  <c r="L313" i="7"/>
  <c r="L314" i="7"/>
  <c r="L315" i="7"/>
  <c r="L316" i="7"/>
  <c r="P316" i="7" s="1"/>
  <c r="L317" i="7"/>
  <c r="P317" i="7" s="1"/>
  <c r="L318" i="7"/>
  <c r="L319" i="7"/>
  <c r="L320" i="7"/>
  <c r="L321" i="7"/>
  <c r="L322" i="7"/>
  <c r="L323" i="7"/>
  <c r="L324" i="7"/>
  <c r="L325" i="7"/>
  <c r="P325" i="7" s="1"/>
  <c r="L326" i="7"/>
  <c r="L327" i="7"/>
  <c r="L328" i="7"/>
  <c r="L329" i="7"/>
  <c r="L330" i="7"/>
  <c r="L331" i="7"/>
  <c r="L332" i="7"/>
  <c r="L333" i="7"/>
  <c r="P333" i="7" s="1"/>
  <c r="L334" i="7"/>
  <c r="P334" i="7" s="1"/>
  <c r="L335" i="7"/>
  <c r="L336" i="7"/>
  <c r="L337" i="7"/>
  <c r="P337" i="7" s="1"/>
  <c r="L338" i="7"/>
  <c r="L339" i="7"/>
  <c r="P339" i="7" s="1"/>
  <c r="L340" i="7"/>
  <c r="P340" i="7" s="1"/>
  <c r="L341" i="7"/>
  <c r="L342" i="7"/>
  <c r="L343" i="7"/>
  <c r="L344" i="7"/>
  <c r="L345" i="7"/>
  <c r="L346" i="7"/>
  <c r="L347" i="7"/>
  <c r="P347" i="7" s="1"/>
  <c r="L348" i="7"/>
  <c r="L349" i="7"/>
  <c r="P349" i="7" s="1"/>
  <c r="L350" i="7"/>
  <c r="L351" i="7"/>
  <c r="L352" i="7"/>
  <c r="P352" i="7" s="1"/>
  <c r="L353" i="7"/>
  <c r="L354" i="7"/>
  <c r="L355" i="7"/>
  <c r="L356" i="7"/>
  <c r="L357" i="7"/>
  <c r="L358" i="7"/>
  <c r="P358" i="7" s="1"/>
  <c r="L359" i="7"/>
  <c r="P359" i="7" s="1"/>
  <c r="L360" i="7"/>
  <c r="L361" i="7"/>
  <c r="L362" i="7"/>
  <c r="L363" i="7"/>
  <c r="L364" i="7"/>
  <c r="L365" i="7"/>
  <c r="P365" i="7" s="1"/>
  <c r="L366" i="7"/>
  <c r="L367" i="7"/>
  <c r="L368" i="7"/>
  <c r="L369" i="7"/>
  <c r="L370" i="7"/>
  <c r="P370" i="7" s="1"/>
  <c r="L371" i="7"/>
  <c r="L372" i="7"/>
  <c r="L373" i="7"/>
  <c r="L374" i="7"/>
  <c r="L375" i="7"/>
  <c r="L376" i="7"/>
  <c r="L377" i="7"/>
  <c r="L378" i="7"/>
  <c r="L379" i="7"/>
  <c r="L380" i="7"/>
  <c r="L381" i="7"/>
  <c r="P381" i="7" s="1"/>
  <c r="L382" i="7"/>
  <c r="P382" i="7" s="1"/>
  <c r="L383" i="7"/>
  <c r="L384" i="7"/>
  <c r="L385" i="7"/>
  <c r="L386" i="7"/>
  <c r="L387" i="7"/>
  <c r="P387" i="7" s="1"/>
  <c r="L388" i="7"/>
  <c r="L389" i="7"/>
  <c r="L390" i="7"/>
  <c r="L391" i="7"/>
  <c r="L392" i="7"/>
  <c r="L393" i="7"/>
  <c r="L394" i="7"/>
  <c r="P394" i="7" s="1"/>
  <c r="L395" i="7"/>
  <c r="P395" i="7" s="1"/>
  <c r="L396" i="7"/>
  <c r="L397" i="7"/>
  <c r="L398" i="7"/>
  <c r="P398" i="7" s="1"/>
  <c r="L399" i="7"/>
  <c r="L400" i="7"/>
  <c r="L401" i="7"/>
  <c r="L402" i="7"/>
  <c r="L403" i="7"/>
  <c r="P403" i="7" s="1"/>
  <c r="L404" i="7"/>
  <c r="L405" i="7"/>
  <c r="L406" i="7"/>
  <c r="P406" i="7" s="1"/>
  <c r="L407" i="7"/>
  <c r="L408" i="7"/>
  <c r="L409" i="7"/>
  <c r="L410" i="7"/>
  <c r="L411" i="7"/>
  <c r="L412" i="7"/>
  <c r="P412" i="7" s="1"/>
  <c r="L413" i="7"/>
  <c r="P413" i="7" s="1"/>
  <c r="L414" i="7"/>
  <c r="L415" i="7"/>
  <c r="L416" i="7"/>
  <c r="L417" i="7"/>
  <c r="P417" i="7" s="1"/>
  <c r="L418" i="7"/>
  <c r="L419" i="7"/>
  <c r="L420" i="7"/>
  <c r="P420" i="7" s="1"/>
  <c r="L421" i="7"/>
  <c r="L422" i="7"/>
  <c r="P422" i="7" s="1"/>
  <c r="L423" i="7"/>
  <c r="L424" i="7"/>
  <c r="L425" i="7"/>
  <c r="P425" i="7" s="1"/>
  <c r="L426" i="7"/>
  <c r="L427" i="7"/>
  <c r="L428" i="7"/>
  <c r="P428" i="7" s="1"/>
  <c r="L429" i="7"/>
  <c r="P429" i="7" s="1"/>
  <c r="L430" i="7"/>
  <c r="P430" i="7" s="1"/>
  <c r="L431" i="7"/>
  <c r="L432" i="7"/>
  <c r="L433" i="7"/>
  <c r="L434" i="7"/>
  <c r="L435" i="7"/>
  <c r="L436" i="7"/>
  <c r="L437" i="7"/>
  <c r="L438" i="7"/>
  <c r="L439" i="7"/>
  <c r="L440" i="7"/>
  <c r="L441" i="7"/>
  <c r="L442" i="7"/>
  <c r="P442" i="7" s="1"/>
  <c r="L443" i="7"/>
  <c r="L444" i="7"/>
  <c r="L445" i="7"/>
  <c r="L446" i="7"/>
  <c r="L447" i="7"/>
  <c r="L448" i="7"/>
  <c r="L449" i="7"/>
  <c r="P449" i="7" s="1"/>
  <c r="L450" i="7"/>
  <c r="L451" i="7"/>
  <c r="P451" i="7" s="1"/>
  <c r="L452" i="7"/>
  <c r="L453" i="7"/>
  <c r="L454" i="7"/>
  <c r="L455" i="7"/>
  <c r="L456" i="7"/>
  <c r="L457" i="7"/>
  <c r="L458" i="7"/>
  <c r="L459" i="7"/>
  <c r="P459" i="7" s="1"/>
  <c r="L460" i="7"/>
  <c r="L461" i="7"/>
  <c r="P461" i="7" s="1"/>
  <c r="L462" i="7"/>
  <c r="L463" i="7"/>
  <c r="P463" i="7" s="1"/>
  <c r="L464" i="7"/>
  <c r="L465" i="7"/>
  <c r="L466" i="7"/>
  <c r="P466" i="7" s="1"/>
  <c r="L467" i="7"/>
  <c r="P467" i="7" s="1"/>
  <c r="L468" i="7"/>
  <c r="L469" i="7"/>
  <c r="L470" i="7"/>
  <c r="P470" i="7" s="1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P483" i="7" s="1"/>
  <c r="L484" i="7"/>
  <c r="P484" i="7" s="1"/>
  <c r="L485" i="7"/>
  <c r="P485" i="7" s="1"/>
  <c r="L486" i="7"/>
  <c r="L487" i="7"/>
  <c r="L488" i="7"/>
  <c r="L489" i="7"/>
  <c r="L490" i="7"/>
  <c r="L491" i="7"/>
  <c r="L492" i="7"/>
  <c r="L493" i="7"/>
  <c r="L494" i="7"/>
  <c r="P494" i="7" s="1"/>
  <c r="L495" i="7"/>
  <c r="P495" i="7" s="1"/>
  <c r="L496" i="7"/>
  <c r="L497" i="7"/>
  <c r="L498" i="7"/>
  <c r="L499" i="7"/>
  <c r="L500" i="7"/>
  <c r="P500" i="7" s="1"/>
  <c r="L501" i="7"/>
  <c r="L502" i="7"/>
  <c r="P502" i="7" s="1"/>
  <c r="L503" i="7"/>
  <c r="P503" i="7" s="1"/>
  <c r="L504" i="7"/>
  <c r="P504" i="7" s="1"/>
  <c r="L505" i="7"/>
  <c r="P505" i="7" s="1"/>
  <c r="L506" i="7"/>
  <c r="P506" i="7" s="1"/>
  <c r="L507" i="7"/>
  <c r="P507" i="7" s="1"/>
  <c r="L508" i="7"/>
  <c r="P508" i="7" s="1"/>
  <c r="L509" i="7"/>
  <c r="P509" i="7" s="1"/>
  <c r="L510" i="7"/>
  <c r="P510" i="7" s="1"/>
  <c r="L511" i="7"/>
  <c r="P511" i="7" s="1"/>
  <c r="L512" i="7"/>
  <c r="P512" i="7" s="1"/>
  <c r="L513" i="7"/>
  <c r="P513" i="7" s="1"/>
  <c r="L514" i="7"/>
  <c r="P514" i="7" s="1"/>
  <c r="L515" i="7"/>
  <c r="P515" i="7" s="1"/>
  <c r="L516" i="7"/>
  <c r="P516" i="7" s="1"/>
  <c r="L517" i="7"/>
  <c r="P517" i="7" s="1"/>
  <c r="L518" i="7"/>
  <c r="P518" i="7" s="1"/>
  <c r="L519" i="7"/>
  <c r="P519" i="7" s="1"/>
  <c r="L520" i="7"/>
  <c r="P520" i="7" s="1"/>
  <c r="L521" i="7"/>
  <c r="P521" i="7" s="1"/>
  <c r="L522" i="7"/>
  <c r="P522" i="7" s="1"/>
  <c r="L523" i="7"/>
  <c r="P523" i="7" s="1"/>
  <c r="L524" i="7"/>
  <c r="P524" i="7" s="1"/>
  <c r="L525" i="7"/>
  <c r="P525" i="7" s="1"/>
  <c r="L2" i="7"/>
  <c r="P47" i="7" l="1"/>
  <c r="P2" i="7"/>
  <c r="S497" i="7"/>
  <c r="P262" i="7"/>
  <c r="M7" i="7"/>
  <c r="Q7" i="7" s="1"/>
  <c r="O7" i="7"/>
  <c r="P441" i="7"/>
  <c r="P217" i="7"/>
  <c r="P121" i="7"/>
  <c r="P312" i="7"/>
  <c r="P280" i="7"/>
  <c r="P98" i="7"/>
  <c r="P57" i="7"/>
  <c r="P272" i="7"/>
  <c r="P160" i="7"/>
  <c r="P152" i="7"/>
  <c r="P144" i="7"/>
  <c r="P136" i="7"/>
  <c r="P128" i="7"/>
  <c r="P120" i="7"/>
  <c r="P112" i="7"/>
  <c r="P104" i="7"/>
  <c r="P96" i="7"/>
  <c r="P88" i="7"/>
  <c r="P80" i="7"/>
  <c r="P64" i="7"/>
  <c r="P56" i="7"/>
  <c r="P48" i="7"/>
  <c r="P40" i="7"/>
  <c r="P32" i="7"/>
  <c r="P16" i="7"/>
  <c r="P8" i="7"/>
  <c r="P391" i="7"/>
  <c r="P199" i="7"/>
  <c r="O32" i="7"/>
  <c r="O9" i="7"/>
  <c r="O126" i="7"/>
  <c r="O43" i="7"/>
  <c r="O8" i="7"/>
  <c r="P168" i="7"/>
  <c r="P87" i="7"/>
  <c r="P79" i="7"/>
  <c r="P71" i="7"/>
  <c r="P63" i="7"/>
  <c r="P55" i="7"/>
  <c r="O118" i="7"/>
  <c r="O34" i="7"/>
  <c r="P318" i="7"/>
  <c r="O254" i="7"/>
  <c r="O89" i="7"/>
  <c r="O26" i="7"/>
  <c r="O190" i="7"/>
  <c r="O80" i="7"/>
  <c r="O25" i="7"/>
  <c r="O153" i="7"/>
  <c r="O17" i="7"/>
  <c r="O144" i="7"/>
  <c r="O16" i="7"/>
  <c r="P234" i="7"/>
  <c r="P169" i="7"/>
  <c r="O136" i="7"/>
  <c r="O54" i="7"/>
  <c r="M522" i="7"/>
  <c r="Q522" i="7" s="1"/>
  <c r="O522" i="7"/>
  <c r="M514" i="7"/>
  <c r="Q514" i="7" s="1"/>
  <c r="O514" i="7"/>
  <c r="M498" i="7"/>
  <c r="Q498" i="7" s="1"/>
  <c r="O498" i="7"/>
  <c r="M490" i="7"/>
  <c r="Q490" i="7" s="1"/>
  <c r="O490" i="7"/>
  <c r="M482" i="7"/>
  <c r="Q482" i="7" s="1"/>
  <c r="O482" i="7"/>
  <c r="M474" i="7"/>
  <c r="Q474" i="7" s="1"/>
  <c r="O474" i="7"/>
  <c r="M458" i="7"/>
  <c r="Q458" i="7" s="1"/>
  <c r="O458" i="7"/>
  <c r="M450" i="7"/>
  <c r="Q450" i="7" s="1"/>
  <c r="O450" i="7"/>
  <c r="M434" i="7"/>
  <c r="Q434" i="7" s="1"/>
  <c r="O434" i="7"/>
  <c r="M426" i="7"/>
  <c r="Q426" i="7" s="1"/>
  <c r="O426" i="7"/>
  <c r="M418" i="7"/>
  <c r="Q418" i="7" s="1"/>
  <c r="O418" i="7"/>
  <c r="M410" i="7"/>
  <c r="Q410" i="7" s="1"/>
  <c r="O410" i="7"/>
  <c r="M402" i="7"/>
  <c r="Q402" i="7" s="1"/>
  <c r="O402" i="7"/>
  <c r="M386" i="7"/>
  <c r="Q386" i="7" s="1"/>
  <c r="O386" i="7"/>
  <c r="M378" i="7"/>
  <c r="Q378" i="7" s="1"/>
  <c r="O378" i="7"/>
  <c r="M370" i="7"/>
  <c r="Q370" i="7" s="1"/>
  <c r="O370" i="7"/>
  <c r="M362" i="7"/>
  <c r="Q362" i="7" s="1"/>
  <c r="O362" i="7"/>
  <c r="M354" i="7"/>
  <c r="Q354" i="7" s="1"/>
  <c r="O354" i="7"/>
  <c r="M346" i="7"/>
  <c r="Q346" i="7" s="1"/>
  <c r="O346" i="7"/>
  <c r="M338" i="7"/>
  <c r="Q338" i="7" s="1"/>
  <c r="O338" i="7"/>
  <c r="M330" i="7"/>
  <c r="Q330" i="7" s="1"/>
  <c r="O330" i="7"/>
  <c r="M322" i="7"/>
  <c r="Q322" i="7" s="1"/>
  <c r="O322" i="7"/>
  <c r="M314" i="7"/>
  <c r="Q314" i="7" s="1"/>
  <c r="O314" i="7"/>
  <c r="M306" i="7"/>
  <c r="Q306" i="7" s="1"/>
  <c r="O306" i="7"/>
  <c r="M298" i="7"/>
  <c r="Q298" i="7" s="1"/>
  <c r="O298" i="7"/>
  <c r="M290" i="7"/>
  <c r="Q290" i="7" s="1"/>
  <c r="O290" i="7"/>
  <c r="M282" i="7"/>
  <c r="Q282" i="7" s="1"/>
  <c r="O282" i="7"/>
  <c r="M266" i="7"/>
  <c r="Q266" i="7" s="1"/>
  <c r="O266" i="7"/>
  <c r="M258" i="7"/>
  <c r="Q258" i="7" s="1"/>
  <c r="O258" i="7"/>
  <c r="M250" i="7"/>
  <c r="Q250" i="7" s="1"/>
  <c r="O250" i="7"/>
  <c r="M242" i="7"/>
  <c r="Q242" i="7" s="1"/>
  <c r="O242" i="7"/>
  <c r="P490" i="7"/>
  <c r="M519" i="7"/>
  <c r="Q519" i="7" s="1"/>
  <c r="O519" i="7"/>
  <c r="M511" i="7"/>
  <c r="Q511" i="7" s="1"/>
  <c r="O511" i="7"/>
  <c r="M503" i="7"/>
  <c r="Q503" i="7" s="1"/>
  <c r="O503" i="7"/>
  <c r="M487" i="7"/>
  <c r="Q487" i="7" s="1"/>
  <c r="O487" i="7"/>
  <c r="M479" i="7"/>
  <c r="Q479" i="7" s="1"/>
  <c r="O479" i="7"/>
  <c r="M471" i="7"/>
  <c r="Q471" i="7" s="1"/>
  <c r="O471" i="7"/>
  <c r="M455" i="7"/>
  <c r="Q455" i="7" s="1"/>
  <c r="O455" i="7"/>
  <c r="M447" i="7"/>
  <c r="Q447" i="7" s="1"/>
  <c r="O447" i="7"/>
  <c r="M439" i="7"/>
  <c r="Q439" i="7" s="1"/>
  <c r="O439" i="7"/>
  <c r="M431" i="7"/>
  <c r="Q431" i="7" s="1"/>
  <c r="O431" i="7"/>
  <c r="M423" i="7"/>
  <c r="Q423" i="7" s="1"/>
  <c r="O423" i="7"/>
  <c r="M415" i="7"/>
  <c r="Q415" i="7" s="1"/>
  <c r="O415" i="7"/>
  <c r="M407" i="7"/>
  <c r="Q407" i="7" s="1"/>
  <c r="O407" i="7"/>
  <c r="M399" i="7"/>
  <c r="Q399" i="7" s="1"/>
  <c r="O399" i="7"/>
  <c r="M383" i="7"/>
  <c r="Q383" i="7" s="1"/>
  <c r="O383" i="7"/>
  <c r="M375" i="7"/>
  <c r="Q375" i="7" s="1"/>
  <c r="O375" i="7"/>
  <c r="M367" i="7"/>
  <c r="Q367" i="7" s="1"/>
  <c r="O367" i="7"/>
  <c r="M351" i="7"/>
  <c r="Q351" i="7" s="1"/>
  <c r="O351" i="7"/>
  <c r="M343" i="7"/>
  <c r="Q343" i="7" s="1"/>
  <c r="O343" i="7"/>
  <c r="M335" i="7"/>
  <c r="Q335" i="7" s="1"/>
  <c r="O335" i="7"/>
  <c r="M327" i="7"/>
  <c r="Q327" i="7" s="1"/>
  <c r="O327" i="7"/>
  <c r="M319" i="7"/>
  <c r="Q319" i="7" s="1"/>
  <c r="O319" i="7"/>
  <c r="M311" i="7"/>
  <c r="Q311" i="7" s="1"/>
  <c r="O311" i="7"/>
  <c r="M295" i="7"/>
  <c r="Q295" i="7" s="1"/>
  <c r="O295" i="7"/>
  <c r="M287" i="7"/>
  <c r="Q287" i="7" s="1"/>
  <c r="O287" i="7"/>
  <c r="M279" i="7"/>
  <c r="Q279" i="7" s="1"/>
  <c r="O279" i="7"/>
  <c r="M271" i="7"/>
  <c r="Q271" i="7" s="1"/>
  <c r="O271" i="7"/>
  <c r="M263" i="7"/>
  <c r="Q263" i="7" s="1"/>
  <c r="O263" i="7"/>
  <c r="M255" i="7"/>
  <c r="Q255" i="7" s="1"/>
  <c r="O255" i="7"/>
  <c r="M247" i="7"/>
  <c r="Q247" i="7" s="1"/>
  <c r="O247" i="7"/>
  <c r="M239" i="7"/>
  <c r="Q239" i="7" s="1"/>
  <c r="O239" i="7"/>
  <c r="M231" i="7"/>
  <c r="Q231" i="7" s="1"/>
  <c r="O231" i="7"/>
  <c r="M223" i="7"/>
  <c r="Q223" i="7" s="1"/>
  <c r="O223" i="7"/>
  <c r="M215" i="7"/>
  <c r="Q215" i="7" s="1"/>
  <c r="O215" i="7"/>
  <c r="M207" i="7"/>
  <c r="Q207" i="7" s="1"/>
  <c r="O207" i="7"/>
  <c r="M183" i="7"/>
  <c r="Q183" i="7" s="1"/>
  <c r="O183" i="7"/>
  <c r="M175" i="7"/>
  <c r="Q175" i="7" s="1"/>
  <c r="O175" i="7"/>
  <c r="M167" i="7"/>
  <c r="Q167" i="7" s="1"/>
  <c r="O167" i="7"/>
  <c r="M159" i="7"/>
  <c r="Q159" i="7" s="1"/>
  <c r="O159" i="7"/>
  <c r="M151" i="7"/>
  <c r="Q151" i="7" s="1"/>
  <c r="O151" i="7"/>
  <c r="M143" i="7"/>
  <c r="Q143" i="7" s="1"/>
  <c r="O143" i="7"/>
  <c r="M135" i="7"/>
  <c r="Q135" i="7" s="1"/>
  <c r="O135" i="7"/>
  <c r="M127" i="7"/>
  <c r="Q127" i="7" s="1"/>
  <c r="O127" i="7"/>
  <c r="M111" i="7"/>
  <c r="Q111" i="7" s="1"/>
  <c r="O111" i="7"/>
  <c r="M103" i="7"/>
  <c r="Q103" i="7" s="1"/>
  <c r="O103" i="7"/>
  <c r="M95" i="7"/>
  <c r="Q95" i="7" s="1"/>
  <c r="O95" i="7"/>
  <c r="P498" i="7"/>
  <c r="P474" i="7"/>
  <c r="P458" i="7"/>
  <c r="P434" i="7"/>
  <c r="P418" i="7"/>
  <c r="P298" i="7"/>
  <c r="P497" i="7"/>
  <c r="P481" i="7"/>
  <c r="P465" i="7"/>
  <c r="P433" i="7"/>
  <c r="P409" i="7"/>
  <c r="P401" i="7"/>
  <c r="P393" i="7"/>
  <c r="P385" i="7"/>
  <c r="P377" i="7"/>
  <c r="P369" i="7"/>
  <c r="P353" i="7"/>
  <c r="P345" i="7"/>
  <c r="P329" i="7"/>
  <c r="P321" i="7"/>
  <c r="P313" i="7"/>
  <c r="P289" i="7"/>
  <c r="P281" i="7"/>
  <c r="P233" i="7"/>
  <c r="P225" i="7"/>
  <c r="P209" i="7"/>
  <c r="P193" i="7"/>
  <c r="P177" i="7"/>
  <c r="M518" i="7"/>
  <c r="Q518" i="7" s="1"/>
  <c r="O518" i="7"/>
  <c r="M510" i="7"/>
  <c r="Q510" i="7" s="1"/>
  <c r="O510" i="7"/>
  <c r="M502" i="7"/>
  <c r="Q502" i="7" s="1"/>
  <c r="O502" i="7"/>
  <c r="M486" i="7"/>
  <c r="Q486" i="7" s="1"/>
  <c r="O486" i="7"/>
  <c r="M478" i="7"/>
  <c r="Q478" i="7" s="1"/>
  <c r="O478" i="7"/>
  <c r="M462" i="7"/>
  <c r="Q462" i="7" s="1"/>
  <c r="O462" i="7"/>
  <c r="M454" i="7"/>
  <c r="Q454" i="7" s="1"/>
  <c r="O454" i="7"/>
  <c r="M446" i="7"/>
  <c r="Q446" i="7" s="1"/>
  <c r="O446" i="7"/>
  <c r="M438" i="7"/>
  <c r="Q438" i="7" s="1"/>
  <c r="O438" i="7"/>
  <c r="M414" i="7"/>
  <c r="Q414" i="7" s="1"/>
  <c r="O414" i="7"/>
  <c r="M390" i="7"/>
  <c r="Q390" i="7" s="1"/>
  <c r="O390" i="7"/>
  <c r="M374" i="7"/>
  <c r="Q374" i="7" s="1"/>
  <c r="O374" i="7"/>
  <c r="M366" i="7"/>
  <c r="Q366" i="7" s="1"/>
  <c r="O366" i="7"/>
  <c r="M350" i="7"/>
  <c r="Q350" i="7" s="1"/>
  <c r="O350" i="7"/>
  <c r="M342" i="7"/>
  <c r="Q342" i="7" s="1"/>
  <c r="O342" i="7"/>
  <c r="M326" i="7"/>
  <c r="Q326" i="7" s="1"/>
  <c r="O326" i="7"/>
  <c r="P482" i="7"/>
  <c r="P426" i="7"/>
  <c r="P402" i="7"/>
  <c r="P378" i="7"/>
  <c r="P354" i="7"/>
  <c r="P330" i="7"/>
  <c r="P258" i="7"/>
  <c r="P489" i="7"/>
  <c r="P473" i="7"/>
  <c r="P457" i="7"/>
  <c r="P496" i="7"/>
  <c r="P488" i="7"/>
  <c r="P480" i="7"/>
  <c r="P472" i="7"/>
  <c r="P464" i="7"/>
  <c r="P448" i="7"/>
  <c r="P440" i="7"/>
  <c r="P424" i="7"/>
  <c r="P416" i="7"/>
  <c r="P408" i="7"/>
  <c r="P400" i="7"/>
  <c r="P392" i="7"/>
  <c r="P376" i="7"/>
  <c r="P368" i="7"/>
  <c r="P336" i="7"/>
  <c r="P328" i="7"/>
  <c r="P288" i="7"/>
  <c r="P264" i="7"/>
  <c r="P232" i="7"/>
  <c r="P224" i="7"/>
  <c r="P208" i="7"/>
  <c r="P200" i="7"/>
  <c r="P192" i="7"/>
  <c r="M525" i="7"/>
  <c r="Q525" i="7" s="1"/>
  <c r="O525" i="7"/>
  <c r="M517" i="7"/>
  <c r="Q517" i="7" s="1"/>
  <c r="O517" i="7"/>
  <c r="M509" i="7"/>
  <c r="Q509" i="7" s="1"/>
  <c r="O509" i="7"/>
  <c r="M501" i="7"/>
  <c r="Q501" i="7" s="1"/>
  <c r="O501" i="7"/>
  <c r="M493" i="7"/>
  <c r="Q493" i="7" s="1"/>
  <c r="O493" i="7"/>
  <c r="M477" i="7"/>
  <c r="Q477" i="7" s="1"/>
  <c r="O477" i="7"/>
  <c r="M469" i="7"/>
  <c r="Q469" i="7" s="1"/>
  <c r="O469" i="7"/>
  <c r="M453" i="7"/>
  <c r="Q453" i="7" s="1"/>
  <c r="O453" i="7"/>
  <c r="M445" i="7"/>
  <c r="Q445" i="7" s="1"/>
  <c r="O445" i="7"/>
  <c r="M437" i="7"/>
  <c r="Q437" i="7" s="1"/>
  <c r="O437" i="7"/>
  <c r="M421" i="7"/>
  <c r="Q421" i="7" s="1"/>
  <c r="O421" i="7"/>
  <c r="M405" i="7"/>
  <c r="Q405" i="7" s="1"/>
  <c r="O405" i="7"/>
  <c r="M397" i="7"/>
  <c r="Q397" i="7" s="1"/>
  <c r="O397" i="7"/>
  <c r="M389" i="7"/>
  <c r="Q389" i="7" s="1"/>
  <c r="O389" i="7"/>
  <c r="M373" i="7"/>
  <c r="Q373" i="7" s="1"/>
  <c r="O373" i="7"/>
  <c r="M357" i="7"/>
  <c r="Q357" i="7" s="1"/>
  <c r="O357" i="7"/>
  <c r="M341" i="7"/>
  <c r="Q341" i="7" s="1"/>
  <c r="O341" i="7"/>
  <c r="P471" i="7"/>
  <c r="P343" i="7"/>
  <c r="P159" i="7"/>
  <c r="P127" i="7"/>
  <c r="M524" i="7"/>
  <c r="Q524" i="7" s="1"/>
  <c r="O524" i="7"/>
  <c r="O508" i="7"/>
  <c r="M508" i="7"/>
  <c r="Q508" i="7" s="1"/>
  <c r="M492" i="7"/>
  <c r="Q492" i="7" s="1"/>
  <c r="O492" i="7"/>
  <c r="M476" i="7"/>
  <c r="Q476" i="7" s="1"/>
  <c r="O476" i="7"/>
  <c r="M468" i="7"/>
  <c r="Q468" i="7" s="1"/>
  <c r="O468" i="7"/>
  <c r="M460" i="7"/>
  <c r="Q460" i="7" s="1"/>
  <c r="O460" i="7"/>
  <c r="M452" i="7"/>
  <c r="Q452" i="7" s="1"/>
  <c r="O452" i="7"/>
  <c r="M444" i="7"/>
  <c r="Q444" i="7" s="1"/>
  <c r="O444" i="7"/>
  <c r="M436" i="7"/>
  <c r="Q436" i="7" s="1"/>
  <c r="O436" i="7"/>
  <c r="M428" i="7"/>
  <c r="Q428" i="7" s="1"/>
  <c r="O428" i="7"/>
  <c r="M420" i="7"/>
  <c r="Q420" i="7" s="1"/>
  <c r="O420" i="7"/>
  <c r="M404" i="7"/>
  <c r="Q404" i="7" s="1"/>
  <c r="O404" i="7"/>
  <c r="M396" i="7"/>
  <c r="Q396" i="7" s="1"/>
  <c r="O396" i="7"/>
  <c r="M388" i="7"/>
  <c r="Q388" i="7" s="1"/>
  <c r="O388" i="7"/>
  <c r="M380" i="7"/>
  <c r="Q380" i="7" s="1"/>
  <c r="O380" i="7"/>
  <c r="M372" i="7"/>
  <c r="Q372" i="7" s="1"/>
  <c r="O372" i="7"/>
  <c r="M364" i="7"/>
  <c r="Q364" i="7" s="1"/>
  <c r="O364" i="7"/>
  <c r="M356" i="7"/>
  <c r="Q356" i="7" s="1"/>
  <c r="O356" i="7"/>
  <c r="M348" i="7"/>
  <c r="Q348" i="7" s="1"/>
  <c r="O348" i="7"/>
  <c r="M340" i="7"/>
  <c r="Q340" i="7" s="1"/>
  <c r="O340" i="7"/>
  <c r="M332" i="7"/>
  <c r="Q332" i="7" s="1"/>
  <c r="O332" i="7"/>
  <c r="M324" i="7"/>
  <c r="Q324" i="7" s="1"/>
  <c r="O324" i="7"/>
  <c r="M300" i="7"/>
  <c r="Q300" i="7" s="1"/>
  <c r="O300" i="7"/>
  <c r="M292" i="7"/>
  <c r="Q292" i="7" s="1"/>
  <c r="O292" i="7"/>
  <c r="M284" i="7"/>
  <c r="Q284" i="7" s="1"/>
  <c r="O284" i="7"/>
  <c r="M276" i="7"/>
  <c r="Q276" i="7" s="1"/>
  <c r="O276" i="7"/>
  <c r="M252" i="7"/>
  <c r="Q252" i="7" s="1"/>
  <c r="O252" i="7"/>
  <c r="M244" i="7"/>
  <c r="Q244" i="7" s="1"/>
  <c r="O244" i="7"/>
  <c r="M236" i="7"/>
  <c r="Q236" i="7" s="1"/>
  <c r="O236" i="7"/>
  <c r="M228" i="7"/>
  <c r="Q228" i="7" s="1"/>
  <c r="O228" i="7"/>
  <c r="M220" i="7"/>
  <c r="Q220" i="7" s="1"/>
  <c r="O220" i="7"/>
  <c r="M212" i="7"/>
  <c r="Q212" i="7" s="1"/>
  <c r="O212" i="7"/>
  <c r="M204" i="7"/>
  <c r="Q204" i="7" s="1"/>
  <c r="O204" i="7"/>
  <c r="M196" i="7"/>
  <c r="Q196" i="7" s="1"/>
  <c r="O196" i="7"/>
  <c r="M180" i="7"/>
  <c r="Q180" i="7" s="1"/>
  <c r="O180" i="7"/>
  <c r="M172" i="7"/>
  <c r="Q172" i="7" s="1"/>
  <c r="O172" i="7"/>
  <c r="O164" i="7"/>
  <c r="M164" i="7"/>
  <c r="Q164" i="7" s="1"/>
  <c r="M156" i="7"/>
  <c r="Q156" i="7" s="1"/>
  <c r="O156" i="7"/>
  <c r="M140" i="7"/>
  <c r="Q140" i="7" s="1"/>
  <c r="O140" i="7"/>
  <c r="M124" i="7"/>
  <c r="Q124" i="7" s="1"/>
  <c r="O124" i="7"/>
  <c r="M116" i="7"/>
  <c r="Q116" i="7" s="1"/>
  <c r="O116" i="7"/>
  <c r="M108" i="7"/>
  <c r="Q108" i="7" s="1"/>
  <c r="O108" i="7"/>
  <c r="M100" i="7"/>
  <c r="Q100" i="7" s="1"/>
  <c r="O100" i="7"/>
  <c r="M84" i="7"/>
  <c r="Q84" i="7" s="1"/>
  <c r="O84" i="7"/>
  <c r="M76" i="7"/>
  <c r="Q76" i="7" s="1"/>
  <c r="O76" i="7"/>
  <c r="M60" i="7"/>
  <c r="Q60" i="7" s="1"/>
  <c r="O60" i="7"/>
  <c r="M36" i="7"/>
  <c r="Q36" i="7" s="1"/>
  <c r="O36" i="7"/>
  <c r="M28" i="7"/>
  <c r="Q28" i="7" s="1"/>
  <c r="O28" i="7"/>
  <c r="O20" i="7"/>
  <c r="M20" i="7"/>
  <c r="Q20" i="7" s="1"/>
  <c r="P487" i="7"/>
  <c r="P399" i="7"/>
  <c r="M523" i="7"/>
  <c r="Q523" i="7" s="1"/>
  <c r="O523" i="7"/>
  <c r="M515" i="7"/>
  <c r="Q515" i="7" s="1"/>
  <c r="O515" i="7"/>
  <c r="M507" i="7"/>
  <c r="Q507" i="7" s="1"/>
  <c r="O507" i="7"/>
  <c r="M499" i="7"/>
  <c r="Q499" i="7" s="1"/>
  <c r="O499" i="7"/>
  <c r="M491" i="7"/>
  <c r="Q491" i="7" s="1"/>
  <c r="O491" i="7"/>
  <c r="M475" i="7"/>
  <c r="Q475" i="7" s="1"/>
  <c r="O475" i="7"/>
  <c r="M443" i="7"/>
  <c r="Q443" i="7" s="1"/>
  <c r="O443" i="7"/>
  <c r="M435" i="7"/>
  <c r="Q435" i="7" s="1"/>
  <c r="O435" i="7"/>
  <c r="M427" i="7"/>
  <c r="Q427" i="7" s="1"/>
  <c r="O427" i="7"/>
  <c r="M419" i="7"/>
  <c r="Q419" i="7" s="1"/>
  <c r="O419" i="7"/>
  <c r="M411" i="7"/>
  <c r="Q411" i="7" s="1"/>
  <c r="O411" i="7"/>
  <c r="M379" i="7"/>
  <c r="Q379" i="7" s="1"/>
  <c r="O379" i="7"/>
  <c r="M371" i="7"/>
  <c r="Q371" i="7" s="1"/>
  <c r="O371" i="7"/>
  <c r="M363" i="7"/>
  <c r="Q363" i="7" s="1"/>
  <c r="O363" i="7"/>
  <c r="M355" i="7"/>
  <c r="Q355" i="7" s="1"/>
  <c r="O355" i="7"/>
  <c r="M347" i="7"/>
  <c r="Q347" i="7" s="1"/>
  <c r="O347" i="7"/>
  <c r="M331" i="7"/>
  <c r="Q331" i="7" s="1"/>
  <c r="O331" i="7"/>
  <c r="M323" i="7"/>
  <c r="Q323" i="7" s="1"/>
  <c r="O323" i="7"/>
  <c r="M315" i="7"/>
  <c r="Q315" i="7" s="1"/>
  <c r="O315" i="7"/>
  <c r="M307" i="7"/>
  <c r="Q307" i="7" s="1"/>
  <c r="O307" i="7"/>
  <c r="M299" i="7"/>
  <c r="Q299" i="7" s="1"/>
  <c r="O299" i="7"/>
  <c r="M291" i="7"/>
  <c r="Q291" i="7" s="1"/>
  <c r="O291" i="7"/>
  <c r="M283" i="7"/>
  <c r="Q283" i="7" s="1"/>
  <c r="O283" i="7"/>
  <c r="M275" i="7"/>
  <c r="Q275" i="7" s="1"/>
  <c r="O275" i="7"/>
  <c r="M267" i="7"/>
  <c r="Q267" i="7" s="1"/>
  <c r="O267" i="7"/>
  <c r="M251" i="7"/>
  <c r="Q251" i="7" s="1"/>
  <c r="O251" i="7"/>
  <c r="M243" i="7"/>
  <c r="Q243" i="7" s="1"/>
  <c r="O243" i="7"/>
  <c r="M235" i="7"/>
  <c r="Q235" i="7" s="1"/>
  <c r="O235" i="7"/>
  <c r="M227" i="7"/>
  <c r="Q227" i="7" s="1"/>
  <c r="O227" i="7"/>
  <c r="M203" i="7"/>
  <c r="Q203" i="7" s="1"/>
  <c r="O203" i="7"/>
  <c r="M187" i="7"/>
  <c r="Q187" i="7" s="1"/>
  <c r="O187" i="7"/>
  <c r="M179" i="7"/>
  <c r="Q179" i="7" s="1"/>
  <c r="O179" i="7"/>
  <c r="M171" i="7"/>
  <c r="Q171" i="7" s="1"/>
  <c r="O171" i="7"/>
  <c r="M163" i="7"/>
  <c r="Q163" i="7" s="1"/>
  <c r="O163" i="7"/>
  <c r="M155" i="7"/>
  <c r="Q155" i="7" s="1"/>
  <c r="O155" i="7"/>
  <c r="M139" i="7"/>
  <c r="Q139" i="7" s="1"/>
  <c r="O139" i="7"/>
  <c r="M131" i="7"/>
  <c r="Q131" i="7" s="1"/>
  <c r="O131" i="7"/>
  <c r="M277" i="7"/>
  <c r="Q277" i="7" s="1"/>
  <c r="O277" i="7"/>
  <c r="M261" i="7"/>
  <c r="Q261" i="7" s="1"/>
  <c r="O261" i="7"/>
  <c r="M253" i="7"/>
  <c r="Q253" i="7" s="1"/>
  <c r="O253" i="7"/>
  <c r="M229" i="7"/>
  <c r="Q229" i="7" s="1"/>
  <c r="O229" i="7"/>
  <c r="M213" i="7"/>
  <c r="Q213" i="7" s="1"/>
  <c r="O213" i="7"/>
  <c r="M205" i="7"/>
  <c r="Q205" i="7" s="1"/>
  <c r="O205" i="7"/>
  <c r="M189" i="7"/>
  <c r="Q189" i="7" s="1"/>
  <c r="O189" i="7"/>
  <c r="M157" i="7"/>
  <c r="Q157" i="7" s="1"/>
  <c r="O157" i="7"/>
  <c r="M141" i="7"/>
  <c r="Q141" i="7" s="1"/>
  <c r="O141" i="7"/>
  <c r="M125" i="7"/>
  <c r="Q125" i="7" s="1"/>
  <c r="O125" i="7"/>
  <c r="M117" i="7"/>
  <c r="Q117" i="7" s="1"/>
  <c r="O117" i="7"/>
  <c r="M109" i="7"/>
  <c r="Q109" i="7" s="1"/>
  <c r="O109" i="7"/>
  <c r="M101" i="7"/>
  <c r="Q101" i="7" s="1"/>
  <c r="O101" i="7"/>
  <c r="M93" i="7"/>
  <c r="Q93" i="7" s="1"/>
  <c r="O93" i="7"/>
  <c r="M85" i="7"/>
  <c r="Q85" i="7" s="1"/>
  <c r="O85" i="7"/>
  <c r="M77" i="7"/>
  <c r="Q77" i="7" s="1"/>
  <c r="O77" i="7"/>
  <c r="M61" i="7"/>
  <c r="Q61" i="7" s="1"/>
  <c r="O61" i="7"/>
  <c r="M53" i="7"/>
  <c r="Q53" i="7" s="1"/>
  <c r="O53" i="7"/>
  <c r="M45" i="7"/>
  <c r="Q45" i="7" s="1"/>
  <c r="O45" i="7"/>
  <c r="M37" i="7"/>
  <c r="Q37" i="7" s="1"/>
  <c r="O37" i="7"/>
  <c r="M29" i="7"/>
  <c r="Q29" i="7" s="1"/>
  <c r="O29" i="7"/>
  <c r="M13" i="7"/>
  <c r="Q13" i="7" s="1"/>
  <c r="O13" i="7"/>
  <c r="O264" i="7"/>
  <c r="O218" i="7"/>
  <c r="O209" i="7"/>
  <c r="O200" i="7"/>
  <c r="O182" i="7"/>
  <c r="O154" i="7"/>
  <c r="O145" i="7"/>
  <c r="O99" i="7"/>
  <c r="O90" i="7"/>
  <c r="O81" i="7"/>
  <c r="O63" i="7"/>
  <c r="O35" i="7"/>
  <c r="M521" i="7"/>
  <c r="Q521" i="7" s="1"/>
  <c r="M504" i="7"/>
  <c r="Q504" i="7" s="1"/>
  <c r="M456" i="7"/>
  <c r="Q456" i="7" s="1"/>
  <c r="M432" i="7"/>
  <c r="Q432" i="7" s="1"/>
  <c r="M384" i="7"/>
  <c r="Q384" i="7" s="1"/>
  <c r="M361" i="7"/>
  <c r="Q361" i="7" s="1"/>
  <c r="M344" i="7"/>
  <c r="Q344" i="7" s="1"/>
  <c r="M320" i="7"/>
  <c r="Q320" i="7" s="1"/>
  <c r="M304" i="7"/>
  <c r="Q304" i="7" s="1"/>
  <c r="M241" i="7"/>
  <c r="Q241" i="7" s="1"/>
  <c r="M201" i="7"/>
  <c r="Q201" i="7" s="1"/>
  <c r="M165" i="7"/>
  <c r="Q165" i="7" s="1"/>
  <c r="O513" i="7"/>
  <c r="O505" i="7"/>
  <c r="O497" i="7"/>
  <c r="O489" i="7"/>
  <c r="O481" i="7"/>
  <c r="O473" i="7"/>
  <c r="O465" i="7"/>
  <c r="O457" i="7"/>
  <c r="O433" i="7"/>
  <c r="O417" i="7"/>
  <c r="O409" i="7"/>
  <c r="O401" i="7"/>
  <c r="O393" i="7"/>
  <c r="O385" i="7"/>
  <c r="O377" i="7"/>
  <c r="O369" i="7"/>
  <c r="O353" i="7"/>
  <c r="O345" i="7"/>
  <c r="O329" i="7"/>
  <c r="O321" i="7"/>
  <c r="O313" i="7"/>
  <c r="O305" i="7"/>
  <c r="O289" i="7"/>
  <c r="O281" i="7"/>
  <c r="O208" i="7"/>
  <c r="O162" i="7"/>
  <c r="O107" i="7"/>
  <c r="O71" i="7"/>
  <c r="M520" i="7"/>
  <c r="Q520" i="7" s="1"/>
  <c r="M360" i="7"/>
  <c r="Q360" i="7" s="1"/>
  <c r="M240" i="7"/>
  <c r="Q240" i="7" s="1"/>
  <c r="O512" i="7"/>
  <c r="O496" i="7"/>
  <c r="O488" i="7"/>
  <c r="O480" i="7"/>
  <c r="O472" i="7"/>
  <c r="O464" i="7"/>
  <c r="O448" i="7"/>
  <c r="O440" i="7"/>
  <c r="O424" i="7"/>
  <c r="O416" i="7"/>
  <c r="O408" i="7"/>
  <c r="O400" i="7"/>
  <c r="O392" i="7"/>
  <c r="O376" i="7"/>
  <c r="O368" i="7"/>
  <c r="O336" i="7"/>
  <c r="O328" i="7"/>
  <c r="O288" i="7"/>
  <c r="O262" i="7"/>
  <c r="O234" i="7"/>
  <c r="O225" i="7"/>
  <c r="O198" i="7"/>
  <c r="O170" i="7"/>
  <c r="O161" i="7"/>
  <c r="O152" i="7"/>
  <c r="O134" i="7"/>
  <c r="O115" i="7"/>
  <c r="O106" i="7"/>
  <c r="O97" i="7"/>
  <c r="O88" i="7"/>
  <c r="O79" i="7"/>
  <c r="O42" i="7"/>
  <c r="O33" i="7"/>
  <c r="O15" i="7"/>
  <c r="O6" i="7"/>
  <c r="M257" i="7"/>
  <c r="Q257" i="7" s="1"/>
  <c r="M185" i="7"/>
  <c r="Q185" i="7" s="1"/>
  <c r="M149" i="7"/>
  <c r="Q149" i="7" s="1"/>
  <c r="O270" i="7"/>
  <c r="O233" i="7"/>
  <c r="O224" i="7"/>
  <c r="O206" i="7"/>
  <c r="O178" i="7"/>
  <c r="O169" i="7"/>
  <c r="O160" i="7"/>
  <c r="O142" i="7"/>
  <c r="O123" i="7"/>
  <c r="O114" i="7"/>
  <c r="O96" i="7"/>
  <c r="O87" i="7"/>
  <c r="O59" i="7"/>
  <c r="O50" i="7"/>
  <c r="O41" i="7"/>
  <c r="O23" i="7"/>
  <c r="O14" i="7"/>
  <c r="M256" i="7"/>
  <c r="Q256" i="7" s="1"/>
  <c r="M184" i="7"/>
  <c r="Q184" i="7" s="1"/>
  <c r="P140" i="7"/>
  <c r="P20" i="7"/>
  <c r="P12" i="7"/>
  <c r="O318" i="7"/>
  <c r="O302" i="7"/>
  <c r="O294" i="7"/>
  <c r="O286" i="7"/>
  <c r="O232" i="7"/>
  <c r="O214" i="7"/>
  <c r="O186" i="7"/>
  <c r="O177" i="7"/>
  <c r="O168" i="7"/>
  <c r="O150" i="7"/>
  <c r="O122" i="7"/>
  <c r="O113" i="7"/>
  <c r="O104" i="7"/>
  <c r="O86" i="7"/>
  <c r="O67" i="7"/>
  <c r="O58" i="7"/>
  <c r="O40" i="7"/>
  <c r="O31" i="7"/>
  <c r="O22" i="7"/>
  <c r="O12" i="7"/>
  <c r="O3" i="7"/>
  <c r="M249" i="7"/>
  <c r="Q249" i="7" s="1"/>
  <c r="P379" i="7"/>
  <c r="P315" i="7"/>
  <c r="P283" i="7"/>
  <c r="P235" i="7"/>
  <c r="P123" i="7"/>
  <c r="P115" i="7"/>
  <c r="O333" i="7"/>
  <c r="O325" i="7"/>
  <c r="O317" i="7"/>
  <c r="O301" i="7"/>
  <c r="O293" i="7"/>
  <c r="O285" i="7"/>
  <c r="O158" i="7"/>
  <c r="O130" i="7"/>
  <c r="O112" i="7"/>
  <c r="O94" i="7"/>
  <c r="O75" i="7"/>
  <c r="O66" i="7"/>
  <c r="O48" i="7"/>
  <c r="O39" i="7"/>
  <c r="O30" i="7"/>
  <c r="O11" i="7"/>
  <c r="O230" i="7"/>
  <c r="O202" i="7"/>
  <c r="O193" i="7"/>
  <c r="O166" i="7"/>
  <c r="O138" i="7"/>
  <c r="O129" i="7"/>
  <c r="O120" i="7"/>
  <c r="O102" i="7"/>
  <c r="O83" i="7"/>
  <c r="O74" i="7"/>
  <c r="O65" i="7"/>
  <c r="O56" i="7"/>
  <c r="O47" i="7"/>
  <c r="O38" i="7"/>
  <c r="O19" i="7"/>
  <c r="M265" i="7"/>
  <c r="Q265" i="7" s="1"/>
  <c r="O238" i="7"/>
  <c r="O210" i="7"/>
  <c r="O192" i="7"/>
  <c r="O174" i="7"/>
  <c r="O146" i="7"/>
  <c r="O137" i="7"/>
  <c r="O128" i="7"/>
  <c r="O110" i="7"/>
  <c r="O91" i="7"/>
  <c r="O82" i="7"/>
  <c r="O73" i="7"/>
  <c r="O64" i="7"/>
  <c r="O55" i="7"/>
  <c r="O46" i="7"/>
  <c r="O27" i="7"/>
  <c r="O18" i="7"/>
  <c r="P139" i="7" l="1"/>
  <c r="P363" i="7"/>
  <c r="P163" i="7"/>
  <c r="P203" i="7"/>
  <c r="P116" i="7"/>
  <c r="P454" i="7"/>
  <c r="P251" i="7"/>
  <c r="P439" i="7"/>
  <c r="P299" i="7"/>
  <c r="P450" i="7"/>
  <c r="P7" i="7"/>
  <c r="P331" i="7"/>
  <c r="P220" i="7"/>
  <c r="P279" i="7"/>
  <c r="P263" i="7"/>
  <c r="P380" i="7"/>
  <c r="P322" i="7"/>
  <c r="P45" i="7"/>
  <c r="P85" i="7"/>
  <c r="P117" i="7"/>
  <c r="P189" i="7"/>
  <c r="P253" i="7"/>
  <c r="P179" i="7"/>
  <c r="P275" i="7"/>
  <c r="P435" i="7"/>
  <c r="P499" i="7"/>
  <c r="P411" i="7"/>
  <c r="P342" i="7"/>
  <c r="P390" i="7"/>
  <c r="P239" i="7"/>
  <c r="P271" i="7"/>
  <c r="P311" i="7"/>
  <c r="P155" i="7"/>
  <c r="P267" i="7"/>
  <c r="P355" i="7"/>
  <c r="P184" i="7"/>
  <c r="P165" i="7"/>
  <c r="P231" i="7"/>
  <c r="P419" i="7"/>
  <c r="P207" i="7"/>
  <c r="P341" i="7"/>
  <c r="P397" i="7"/>
  <c r="P445" i="7"/>
  <c r="P493" i="7"/>
  <c r="P306" i="7"/>
  <c r="P172" i="7"/>
  <c r="P282" i="7"/>
  <c r="P314" i="7"/>
  <c r="P346" i="7"/>
  <c r="P265" i="7"/>
  <c r="P276" i="7"/>
  <c r="P324" i="7"/>
  <c r="P356" i="7"/>
  <c r="P388" i="7"/>
  <c r="P460" i="7"/>
  <c r="P135" i="7"/>
  <c r="P431" i="7"/>
  <c r="P156" i="7"/>
  <c r="P196" i="7"/>
  <c r="P414" i="7"/>
  <c r="P462" i="7"/>
  <c r="P215" i="7"/>
  <c r="P187" i="7"/>
  <c r="P291" i="7"/>
  <c r="P371" i="7"/>
  <c r="P360" i="7"/>
  <c r="P241" i="7"/>
  <c r="P351" i="7"/>
  <c r="P319" i="7"/>
  <c r="P357" i="7"/>
  <c r="P405" i="7"/>
  <c r="P453" i="7"/>
  <c r="P501" i="7"/>
  <c r="P348" i="7"/>
  <c r="P257" i="7"/>
  <c r="P386" i="7"/>
  <c r="P37" i="7"/>
  <c r="P77" i="7"/>
  <c r="P157" i="7"/>
  <c r="P384" i="7"/>
  <c r="P456" i="7"/>
  <c r="P53" i="7"/>
  <c r="P93" i="7"/>
  <c r="P101" i="7"/>
  <c r="P141" i="7"/>
  <c r="P213" i="7"/>
  <c r="P277" i="7"/>
  <c r="P236" i="7"/>
  <c r="P284" i="7"/>
  <c r="P332" i="7"/>
  <c r="P364" i="7"/>
  <c r="P396" i="7"/>
  <c r="P366" i="7"/>
  <c r="P438" i="7"/>
  <c r="P478" i="7"/>
  <c r="P103" i="7"/>
  <c r="P143" i="7"/>
  <c r="P287" i="7"/>
  <c r="P479" i="7"/>
  <c r="P125" i="7"/>
  <c r="P205" i="7"/>
  <c r="P261" i="7"/>
  <c r="P443" i="7"/>
  <c r="P108" i="7"/>
  <c r="P149" i="7"/>
  <c r="P29" i="7"/>
  <c r="P61" i="7"/>
  <c r="P475" i="7"/>
  <c r="P76" i="7"/>
  <c r="P204" i="7"/>
  <c r="P436" i="7"/>
  <c r="P468" i="7"/>
  <c r="P175" i="7"/>
  <c r="P223" i="7"/>
  <c r="P255" i="7"/>
  <c r="P327" i="7"/>
  <c r="P367" i="7"/>
  <c r="P407" i="7"/>
  <c r="P227" i="7"/>
  <c r="P307" i="7"/>
  <c r="P249" i="7"/>
  <c r="P100" i="7"/>
  <c r="P185" i="7"/>
  <c r="P320" i="7"/>
  <c r="P415" i="7"/>
  <c r="P95" i="7"/>
  <c r="P423" i="7"/>
  <c r="P373" i="7"/>
  <c r="P421" i="7"/>
  <c r="P469" i="7"/>
  <c r="P344" i="7"/>
  <c r="P432" i="7"/>
  <c r="P250" i="7"/>
  <c r="P164" i="7"/>
  <c r="P242" i="7"/>
  <c r="P362" i="7"/>
  <c r="P229" i="7"/>
  <c r="P131" i="7"/>
  <c r="P446" i="7"/>
  <c r="P486" i="7"/>
  <c r="P228" i="7"/>
  <c r="P111" i="7"/>
  <c r="P151" i="7"/>
  <c r="P335" i="7"/>
  <c r="P375" i="7"/>
  <c r="P447" i="7"/>
  <c r="P290" i="7"/>
  <c r="P427" i="7"/>
  <c r="P28" i="7"/>
  <c r="P244" i="7"/>
  <c r="P292" i="7"/>
  <c r="P372" i="7"/>
  <c r="P444" i="7"/>
  <c r="P476" i="7"/>
  <c r="P326" i="7"/>
  <c r="P374" i="7"/>
  <c r="P183" i="7"/>
  <c r="P243" i="7"/>
  <c r="P323" i="7"/>
  <c r="P124" i="7"/>
  <c r="P361" i="7"/>
  <c r="P350" i="7"/>
  <c r="P491" i="7"/>
  <c r="P389" i="7"/>
  <c r="P437" i="7"/>
  <c r="P477" i="7"/>
  <c r="P240" i="7"/>
  <c r="P201" i="7"/>
  <c r="P404" i="7"/>
  <c r="P266" i="7"/>
  <c r="P338" i="7"/>
  <c r="P410" i="7"/>
  <c r="P36" i="7"/>
  <c r="P180" i="7"/>
  <c r="P252" i="7"/>
  <c r="P300" i="7"/>
  <c r="P492" i="7"/>
  <c r="P167" i="7"/>
  <c r="P256" i="7"/>
  <c r="P452" i="7"/>
  <c r="P383" i="7"/>
  <c r="P455" i="7"/>
</calcChain>
</file>

<file path=xl/sharedStrings.xml><?xml version="1.0" encoding="utf-8"?>
<sst xmlns="http://schemas.openxmlformats.org/spreadsheetml/2006/main" count="11235" uniqueCount="2193">
  <si>
    <t>Invoice_ID</t>
  </si>
  <si>
    <t>Vendor_ID</t>
  </si>
  <si>
    <t>Invoice_Number</t>
  </si>
  <si>
    <t>PO_Number</t>
  </si>
  <si>
    <t>Invoice_Date</t>
  </si>
  <si>
    <t>Due_Date</t>
  </si>
  <si>
    <t>Invoice_Amount</t>
  </si>
  <si>
    <t>Currency</t>
  </si>
  <si>
    <t>Invoice_Status</t>
  </si>
  <si>
    <t>Modification_Required</t>
  </si>
  <si>
    <t>Source_Channel</t>
  </si>
  <si>
    <t>IN00001</t>
  </si>
  <si>
    <t>V006</t>
  </si>
  <si>
    <t>INV-V006-93886</t>
  </si>
  <si>
    <t>PO-821590</t>
  </si>
  <si>
    <t>INR</t>
  </si>
  <si>
    <t>Approved</t>
  </si>
  <si>
    <t>No</t>
  </si>
  <si>
    <t>Email</t>
  </si>
  <si>
    <t>IN00002</t>
  </si>
  <si>
    <t>V008</t>
  </si>
  <si>
    <t>INV-V008-18675</t>
  </si>
  <si>
    <t>PO-321231</t>
  </si>
  <si>
    <t>On Hold</t>
  </si>
  <si>
    <t>EDI</t>
  </si>
  <si>
    <t>IN00003</t>
  </si>
  <si>
    <t>V011</t>
  </si>
  <si>
    <t>INV-V011-94259</t>
  </si>
  <si>
    <t>PO-581141</t>
  </si>
  <si>
    <t>Received</t>
  </si>
  <si>
    <t>Yes</t>
  </si>
  <si>
    <t>IN00004</t>
  </si>
  <si>
    <t>V018</t>
  </si>
  <si>
    <t>INV-V018-86484</t>
  </si>
  <si>
    <t>PO-518801</t>
  </si>
  <si>
    <t>IN00005</t>
  </si>
  <si>
    <t>V017</t>
  </si>
  <si>
    <t>INV-V017-92240</t>
  </si>
  <si>
    <t>PO-267753</t>
  </si>
  <si>
    <t>Modified</t>
  </si>
  <si>
    <t>IN00006</t>
  </si>
  <si>
    <t>V013</t>
  </si>
  <si>
    <t>INV-V013-42953</t>
  </si>
  <si>
    <t>PO-680099</t>
  </si>
  <si>
    <t>IN00007</t>
  </si>
  <si>
    <t>V004</t>
  </si>
  <si>
    <t>INV-V004-54587</t>
  </si>
  <si>
    <t>PO-216970</t>
  </si>
  <si>
    <t>IN00008</t>
  </si>
  <si>
    <t>V009</t>
  </si>
  <si>
    <t>INV-V009-23947</t>
  </si>
  <si>
    <t>PO-755674</t>
  </si>
  <si>
    <t>IN00009</t>
  </si>
  <si>
    <t>V007</t>
  </si>
  <si>
    <t>INV-V007-79514</t>
  </si>
  <si>
    <t>PO-100599</t>
  </si>
  <si>
    <t>IN00010</t>
  </si>
  <si>
    <t>V012</t>
  </si>
  <si>
    <t>INV-V012-84364</t>
  </si>
  <si>
    <t>PO-182582</t>
  </si>
  <si>
    <t>IN00011</t>
  </si>
  <si>
    <t>INV-V018-82063</t>
  </si>
  <si>
    <t>PO-273148</t>
  </si>
  <si>
    <t>Supplier Portal</t>
  </si>
  <si>
    <t>IN00012</t>
  </si>
  <si>
    <t>INV-V007-50857</t>
  </si>
  <si>
    <t>PO-518373</t>
  </si>
  <si>
    <t>IN00013</t>
  </si>
  <si>
    <t>INV-V017-54313</t>
  </si>
  <si>
    <t>PO-122056</t>
  </si>
  <si>
    <t>IN00014</t>
  </si>
  <si>
    <t>V001</t>
  </si>
  <si>
    <t>INV-V001-14117</t>
  </si>
  <si>
    <t>PO-446479</t>
  </si>
  <si>
    <t>IN00015</t>
  </si>
  <si>
    <t>V016</t>
  </si>
  <si>
    <t>INV-V016-84847</t>
  </si>
  <si>
    <t>PO-704201</t>
  </si>
  <si>
    <t>IN00016</t>
  </si>
  <si>
    <t>INV-V007-65519</t>
  </si>
  <si>
    <t>PO-531071</t>
  </si>
  <si>
    <t>IN00017</t>
  </si>
  <si>
    <t>INV-V004-24322</t>
  </si>
  <si>
    <t>PO-360735</t>
  </si>
  <si>
    <t>IN00018</t>
  </si>
  <si>
    <t>V014</t>
  </si>
  <si>
    <t>INV-V014-19880</t>
  </si>
  <si>
    <t>PO-564656</t>
  </si>
  <si>
    <t>IN00019</t>
  </si>
  <si>
    <t>V002</t>
  </si>
  <si>
    <t>INV-V002-40982</t>
  </si>
  <si>
    <t>PO-274389</t>
  </si>
  <si>
    <t>IN00020</t>
  </si>
  <si>
    <t>INV-V002-44760</t>
  </si>
  <si>
    <t>PO-922157</t>
  </si>
  <si>
    <t>IN00021</t>
  </si>
  <si>
    <t>INV-V018-17665</t>
  </si>
  <si>
    <t>PO-707314</t>
  </si>
  <si>
    <t>IN00022</t>
  </si>
  <si>
    <t>INV-V002-79615</t>
  </si>
  <si>
    <t>PO-265080</t>
  </si>
  <si>
    <t>IN00023</t>
  </si>
  <si>
    <t>V003</t>
  </si>
  <si>
    <t>INV-V003-25713</t>
  </si>
  <si>
    <t>PO-697347</t>
  </si>
  <si>
    <t>IN00024</t>
  </si>
  <si>
    <t>INV-V003-51467</t>
  </si>
  <si>
    <t>PO-373432</t>
  </si>
  <si>
    <t>IN00025</t>
  </si>
  <si>
    <t>INV-V009-69929</t>
  </si>
  <si>
    <t>PO-431535</t>
  </si>
  <si>
    <t>IN00026</t>
  </si>
  <si>
    <t>V015</t>
  </si>
  <si>
    <t>INV-V015-44760</t>
  </si>
  <si>
    <t>PO-238890</t>
  </si>
  <si>
    <t>IN00027</t>
  </si>
  <si>
    <t>INV-V012-49651</t>
  </si>
  <si>
    <t>PO-741390</t>
  </si>
  <si>
    <t>IN00028</t>
  </si>
  <si>
    <t>INV-V001-27601</t>
  </si>
  <si>
    <t>PO-377312</t>
  </si>
  <si>
    <t>IN00029</t>
  </si>
  <si>
    <t>V005</t>
  </si>
  <si>
    <t>INV-V005-54942</t>
  </si>
  <si>
    <t>PO-313487</t>
  </si>
  <si>
    <t>IN00030</t>
  </si>
  <si>
    <t>INV-V016-22097</t>
  </si>
  <si>
    <t>PO-765095</t>
  </si>
  <si>
    <t>IN00031</t>
  </si>
  <si>
    <t>INV-V011-67912</t>
  </si>
  <si>
    <t>PO-678478</t>
  </si>
  <si>
    <t>IN00032</t>
  </si>
  <si>
    <t>INV-V003-86350</t>
  </si>
  <si>
    <t>PO-679364</t>
  </si>
  <si>
    <t>IN00033</t>
  </si>
  <si>
    <t>INV-V012-42706</t>
  </si>
  <si>
    <t>PO-799330</t>
  </si>
  <si>
    <t>IN00034</t>
  </si>
  <si>
    <t>V020</t>
  </si>
  <si>
    <t>INV-V020-31299</t>
  </si>
  <si>
    <t>PO-938742</t>
  </si>
  <si>
    <t>IN00035</t>
  </si>
  <si>
    <t>INV-V006-97806</t>
  </si>
  <si>
    <t>PO-870763</t>
  </si>
  <si>
    <t>IN00036</t>
  </si>
  <si>
    <t>INV-V004-39154</t>
  </si>
  <si>
    <t>PO-309267</t>
  </si>
  <si>
    <t>IN00037</t>
  </si>
  <si>
    <t>INV-V008-53025</t>
  </si>
  <si>
    <t>PO-392136</t>
  </si>
  <si>
    <t>IN00038</t>
  </si>
  <si>
    <t>INV-V012-80282</t>
  </si>
  <si>
    <t>PO-447235</t>
  </si>
  <si>
    <t>IN00039</t>
  </si>
  <si>
    <t>INV-V006-55309</t>
  </si>
  <si>
    <t>PO-863934</t>
  </si>
  <si>
    <t>IN00040</t>
  </si>
  <si>
    <t>INV-V004-15817</t>
  </si>
  <si>
    <t>PO-843215</t>
  </si>
  <si>
    <t>IN00041</t>
  </si>
  <si>
    <t>INV-V007-53279</t>
  </si>
  <si>
    <t>PO-753425</t>
  </si>
  <si>
    <t>IN00042</t>
  </si>
  <si>
    <t>V010</t>
  </si>
  <si>
    <t>INV-V010-62743</t>
  </si>
  <si>
    <t>PO-831076</t>
  </si>
  <si>
    <t>IN00043</t>
  </si>
  <si>
    <t>INV-V013-81819</t>
  </si>
  <si>
    <t>PO-974224</t>
  </si>
  <si>
    <t>IN00044</t>
  </si>
  <si>
    <t>V019</t>
  </si>
  <si>
    <t>INV-V019-38010</t>
  </si>
  <si>
    <t>PO-636004</t>
  </si>
  <si>
    <t>IN00045</t>
  </si>
  <si>
    <t>INV-V006-91167</t>
  </si>
  <si>
    <t>PO-451470</t>
  </si>
  <si>
    <t>IN00046</t>
  </si>
  <si>
    <t>INV-V010-16057</t>
  </si>
  <si>
    <t>PO-356736</t>
  </si>
  <si>
    <t>IN00047</t>
  </si>
  <si>
    <t>INV-V015-60328</t>
  </si>
  <si>
    <t>PO-618392</t>
  </si>
  <si>
    <t>IN00048</t>
  </si>
  <si>
    <t>INV-V001-77889</t>
  </si>
  <si>
    <t>PO-587115</t>
  </si>
  <si>
    <t>IN00049</t>
  </si>
  <si>
    <t>INV-V015-83259</t>
  </si>
  <si>
    <t>PO-724377</t>
  </si>
  <si>
    <t>IN00050</t>
  </si>
  <si>
    <t>INV-V020-68446</t>
  </si>
  <si>
    <t>PO-266889</t>
  </si>
  <si>
    <t>IN00051</t>
  </si>
  <si>
    <t>INV-V008-92149</t>
  </si>
  <si>
    <t>PO-350867</t>
  </si>
  <si>
    <t>IN00052</t>
  </si>
  <si>
    <t>INV-V008-20561</t>
  </si>
  <si>
    <t>PO-245095</t>
  </si>
  <si>
    <t>IN00053</t>
  </si>
  <si>
    <t>INV-V007-71069</t>
  </si>
  <si>
    <t>PO-535970</t>
  </si>
  <si>
    <t>IN00054</t>
  </si>
  <si>
    <t>INV-V019-59857</t>
  </si>
  <si>
    <t>PO-600149</t>
  </si>
  <si>
    <t>IN00055</t>
  </si>
  <si>
    <t>INV-V014-89069</t>
  </si>
  <si>
    <t>PO-331251</t>
  </si>
  <si>
    <t>IN00056</t>
  </si>
  <si>
    <t>INV-V001-62994</t>
  </si>
  <si>
    <t>PO-859359</t>
  </si>
  <si>
    <t>IN00057</t>
  </si>
  <si>
    <t>INV-V020-83975</t>
  </si>
  <si>
    <t>PO-795205</t>
  </si>
  <si>
    <t>IN00058</t>
  </si>
  <si>
    <t>INV-V015-37742</t>
  </si>
  <si>
    <t>PO-576786</t>
  </si>
  <si>
    <t>IN00059</t>
  </si>
  <si>
    <t>INV-V009-12540</t>
  </si>
  <si>
    <t>PO-885408</t>
  </si>
  <si>
    <t>IN00060</t>
  </si>
  <si>
    <t>INV-V008-14067</t>
  </si>
  <si>
    <t>PO-359295</t>
  </si>
  <si>
    <t>IN00061</t>
  </si>
  <si>
    <t>INV-V008-38569</t>
  </si>
  <si>
    <t>PO-587623</t>
  </si>
  <si>
    <t>IN00062</t>
  </si>
  <si>
    <t>INV-V020-50768</t>
  </si>
  <si>
    <t>PO-213349</t>
  </si>
  <si>
    <t>IN00063</t>
  </si>
  <si>
    <t>INV-V013-87607</t>
  </si>
  <si>
    <t>PO-824161</t>
  </si>
  <si>
    <t>IN00064</t>
  </si>
  <si>
    <t>INV-V010-15383</t>
  </si>
  <si>
    <t>PO-464069</t>
  </si>
  <si>
    <t>IN00065</t>
  </si>
  <si>
    <t>INV-V017-74251</t>
  </si>
  <si>
    <t>PO-210665</t>
  </si>
  <si>
    <t>IN00066</t>
  </si>
  <si>
    <t>INV-V005-95256</t>
  </si>
  <si>
    <t>PO-383201</t>
  </si>
  <si>
    <t>IN00067</t>
  </si>
  <si>
    <t>INV-V015-52245</t>
  </si>
  <si>
    <t>PO-993085</t>
  </si>
  <si>
    <t>IN00068</t>
  </si>
  <si>
    <t>INV-V015-97580</t>
  </si>
  <si>
    <t>PO-497399</t>
  </si>
  <si>
    <t>IN00069</t>
  </si>
  <si>
    <t>INV-V006-54608</t>
  </si>
  <si>
    <t>PO-393243</t>
  </si>
  <si>
    <t>IN00070</t>
  </si>
  <si>
    <t>INV-V018-41635</t>
  </si>
  <si>
    <t>PO-855053</t>
  </si>
  <si>
    <t>IN00071</t>
  </si>
  <si>
    <t>INV-V016-63005</t>
  </si>
  <si>
    <t>PO-825391</t>
  </si>
  <si>
    <t>IN00072</t>
  </si>
  <si>
    <t>INV-V016-82140</t>
  </si>
  <si>
    <t>PO-446859</t>
  </si>
  <si>
    <t>IN00073</t>
  </si>
  <si>
    <t>INV-V009-25670</t>
  </si>
  <si>
    <t>PO-878967</t>
  </si>
  <si>
    <t>IN00074</t>
  </si>
  <si>
    <t>INV-V007-87278</t>
  </si>
  <si>
    <t>PO-897135</t>
  </si>
  <si>
    <t>IN00075</t>
  </si>
  <si>
    <t>INV-V007-11854</t>
  </si>
  <si>
    <t>PO-842411</t>
  </si>
  <si>
    <t>IN00076</t>
  </si>
  <si>
    <t>INV-V018-74340</t>
  </si>
  <si>
    <t>PO-207570</t>
  </si>
  <si>
    <t>IN00077</t>
  </si>
  <si>
    <t>INV-V016-43092</t>
  </si>
  <si>
    <t>PO-600935</t>
  </si>
  <si>
    <t>IN00078</t>
  </si>
  <si>
    <t>INV-V003-49824</t>
  </si>
  <si>
    <t>PO-189318</t>
  </si>
  <si>
    <t>IN00079</t>
  </si>
  <si>
    <t>INV-V020-68028</t>
  </si>
  <si>
    <t>PO-411797</t>
  </si>
  <si>
    <t>IN00080</t>
  </si>
  <si>
    <t>INV-V019-37235</t>
  </si>
  <si>
    <t>PO-755900</t>
  </si>
  <si>
    <t>IN00081</t>
  </si>
  <si>
    <t>INV-V008-63545</t>
  </si>
  <si>
    <t>PO-572387</t>
  </si>
  <si>
    <t>IN00082</t>
  </si>
  <si>
    <t>INV-V008-69510</t>
  </si>
  <si>
    <t>PO-174637</t>
  </si>
  <si>
    <t>IN00083</t>
  </si>
  <si>
    <t>INV-V019-94886</t>
  </si>
  <si>
    <t>PO-256226</t>
  </si>
  <si>
    <t>IN00084</t>
  </si>
  <si>
    <t>INV-V002-84607</t>
  </si>
  <si>
    <t>PO-402630</t>
  </si>
  <si>
    <t>IN00085</t>
  </si>
  <si>
    <t>INV-V013-20543</t>
  </si>
  <si>
    <t>PO-727086</t>
  </si>
  <si>
    <t>IN00086</t>
  </si>
  <si>
    <t>INV-V020-98381</t>
  </si>
  <si>
    <t>PO-976566</t>
  </si>
  <si>
    <t>IN00087</t>
  </si>
  <si>
    <t>INV-V009-78021</t>
  </si>
  <si>
    <t>PO-783157</t>
  </si>
  <si>
    <t>IN00088</t>
  </si>
  <si>
    <t>INV-V014-63523</t>
  </si>
  <si>
    <t>PO-449499</t>
  </si>
  <si>
    <t>IN00089</t>
  </si>
  <si>
    <t>INV-V011-62488</t>
  </si>
  <si>
    <t>PO-953085</t>
  </si>
  <si>
    <t>IN00090</t>
  </si>
  <si>
    <t>INV-V011-62976</t>
  </si>
  <si>
    <t>PO-639593</t>
  </si>
  <si>
    <t>IN00091</t>
  </si>
  <si>
    <t>INV-V015-91609</t>
  </si>
  <si>
    <t>PO-893188</t>
  </si>
  <si>
    <t>IN00092</t>
  </si>
  <si>
    <t>INV-V007-67424</t>
  </si>
  <si>
    <t>PO-832168</t>
  </si>
  <si>
    <t>IN00093</t>
  </si>
  <si>
    <t>INV-V020-11792</t>
  </si>
  <si>
    <t>PO-679077</t>
  </si>
  <si>
    <t>IN00094</t>
  </si>
  <si>
    <t>INV-V015-48254</t>
  </si>
  <si>
    <t>PO-633590</t>
  </si>
  <si>
    <t>IN00095</t>
  </si>
  <si>
    <t>INV-V016-34983</t>
  </si>
  <si>
    <t>PO-728492</t>
  </si>
  <si>
    <t>IN00096</t>
  </si>
  <si>
    <t>INV-V009-45018</t>
  </si>
  <si>
    <t>PO-960408</t>
  </si>
  <si>
    <t>IN00097</t>
  </si>
  <si>
    <t>INV-V019-73483</t>
  </si>
  <si>
    <t>PO-461888</t>
  </si>
  <si>
    <t>IN00098</t>
  </si>
  <si>
    <t>INV-V015-41300</t>
  </si>
  <si>
    <t>PO-699573</t>
  </si>
  <si>
    <t>IN00099</t>
  </si>
  <si>
    <t>INV-V002-59968</t>
  </si>
  <si>
    <t>PO-504832</t>
  </si>
  <si>
    <t>IN00100</t>
  </si>
  <si>
    <t>INV-V005-87356</t>
  </si>
  <si>
    <t>PO-448121</t>
  </si>
  <si>
    <t>IN00101</t>
  </si>
  <si>
    <t>INV-V004-95823</t>
  </si>
  <si>
    <t>PO-261859</t>
  </si>
  <si>
    <t>IN00102</t>
  </si>
  <si>
    <t>INV-V011-98389</t>
  </si>
  <si>
    <t>PO-659543</t>
  </si>
  <si>
    <t>IN00103</t>
  </si>
  <si>
    <t>INV-V016-47667</t>
  </si>
  <si>
    <t>PO-338536</t>
  </si>
  <si>
    <t>IN00104</t>
  </si>
  <si>
    <t>INV-V004-13794</t>
  </si>
  <si>
    <t>PO-148225</t>
  </si>
  <si>
    <t>IN00105</t>
  </si>
  <si>
    <t>INV-V012-84177</t>
  </si>
  <si>
    <t>PO-814919</t>
  </si>
  <si>
    <t>IN00106</t>
  </si>
  <si>
    <t>INV-V020-86435</t>
  </si>
  <si>
    <t>PO-250069</t>
  </si>
  <si>
    <t>IN00107</t>
  </si>
  <si>
    <t>INV-V009-47700</t>
  </si>
  <si>
    <t>PO-810526</t>
  </si>
  <si>
    <t>IN00108</t>
  </si>
  <si>
    <t>INV-V019-42780</t>
  </si>
  <si>
    <t>PO-579027</t>
  </si>
  <si>
    <t>IN00109</t>
  </si>
  <si>
    <t>INV-V016-85341</t>
  </si>
  <si>
    <t>PO-410244</t>
  </si>
  <si>
    <t>IN00110</t>
  </si>
  <si>
    <t>INV-V013-16428</t>
  </si>
  <si>
    <t>PO-735863</t>
  </si>
  <si>
    <t>IN00111</t>
  </si>
  <si>
    <t>INV-V008-42850</t>
  </si>
  <si>
    <t>PO-810687</t>
  </si>
  <si>
    <t>IN00112</t>
  </si>
  <si>
    <t>INV-V005-50492</t>
  </si>
  <si>
    <t>PO-926918</t>
  </si>
  <si>
    <t>IN00113</t>
  </si>
  <si>
    <t>INV-V005-64460</t>
  </si>
  <si>
    <t>PO-284171</t>
  </si>
  <si>
    <t>IN00114</t>
  </si>
  <si>
    <t>INV-V017-43681</t>
  </si>
  <si>
    <t>PO-964749</t>
  </si>
  <si>
    <t>IN00115</t>
  </si>
  <si>
    <t>INV-V011-39571</t>
  </si>
  <si>
    <t>PO-809176</t>
  </si>
  <si>
    <t>IN00116</t>
  </si>
  <si>
    <t>INV-V012-69609</t>
  </si>
  <si>
    <t>PO-486490</t>
  </si>
  <si>
    <t>IN00117</t>
  </si>
  <si>
    <t>INV-V013-13280</t>
  </si>
  <si>
    <t>PO-749641</t>
  </si>
  <si>
    <t>IN00118</t>
  </si>
  <si>
    <t>INV-V008-49608</t>
  </si>
  <si>
    <t>PO-780776</t>
  </si>
  <si>
    <t>IN00119</t>
  </si>
  <si>
    <t>INV-V010-80457</t>
  </si>
  <si>
    <t>PO-242254</t>
  </si>
  <si>
    <t>IN00120</t>
  </si>
  <si>
    <t>INV-V018-64379</t>
  </si>
  <si>
    <t>PO-786735</t>
  </si>
  <si>
    <t>IN00121</t>
  </si>
  <si>
    <t>INV-V009-68287</t>
  </si>
  <si>
    <t>PO-347582</t>
  </si>
  <si>
    <t>IN00122</t>
  </si>
  <si>
    <t>INV-V012-17936</t>
  </si>
  <si>
    <t>PO-517479</t>
  </si>
  <si>
    <t>IN00123</t>
  </si>
  <si>
    <t>INV-V003-12799</t>
  </si>
  <si>
    <t>PO-153035</t>
  </si>
  <si>
    <t>IN00124</t>
  </si>
  <si>
    <t>INV-V019-37152</t>
  </si>
  <si>
    <t>PO-714867</t>
  </si>
  <si>
    <t>IN00125</t>
  </si>
  <si>
    <t>INV-V005-27038</t>
  </si>
  <si>
    <t>PO-666456</t>
  </si>
  <si>
    <t>IN00126</t>
  </si>
  <si>
    <t>INV-V001-41186</t>
  </si>
  <si>
    <t>PO-717457</t>
  </si>
  <si>
    <t>IN00127</t>
  </si>
  <si>
    <t>INV-V005-72422</t>
  </si>
  <si>
    <t>PO-570050</t>
  </si>
  <si>
    <t>IN00128</t>
  </si>
  <si>
    <t>INV-V015-96363</t>
  </si>
  <si>
    <t>PO-646781</t>
  </si>
  <si>
    <t>IN00129</t>
  </si>
  <si>
    <t>INV-V002-24150</t>
  </si>
  <si>
    <t>PO-614084</t>
  </si>
  <si>
    <t>IN00130</t>
  </si>
  <si>
    <t>INV-V011-92978</t>
  </si>
  <si>
    <t>PO-713799</t>
  </si>
  <si>
    <t>IN00131</t>
  </si>
  <si>
    <t>INV-V017-22999</t>
  </si>
  <si>
    <t>PO-931621</t>
  </si>
  <si>
    <t>IN00132</t>
  </si>
  <si>
    <t>INV-V018-64239</t>
  </si>
  <si>
    <t>PO-455395</t>
  </si>
  <si>
    <t>IN00133</t>
  </si>
  <si>
    <t>INV-V004-59060</t>
  </si>
  <si>
    <t>PO-260053</t>
  </si>
  <si>
    <t>IN00134</t>
  </si>
  <si>
    <t>INV-V003-58843</t>
  </si>
  <si>
    <t>PO-951201</t>
  </si>
  <si>
    <t>IN00135</t>
  </si>
  <si>
    <t>INV-V018-97207</t>
  </si>
  <si>
    <t>PO-886730</t>
  </si>
  <si>
    <t>IN00136</t>
  </si>
  <si>
    <t>INV-V010-37884</t>
  </si>
  <si>
    <t>PO-262246</t>
  </si>
  <si>
    <t>IN00137</t>
  </si>
  <si>
    <t>INV-V012-85248</t>
  </si>
  <si>
    <t>PO-337144</t>
  </si>
  <si>
    <t>IN00138</t>
  </si>
  <si>
    <t>INV-V020-45054</t>
  </si>
  <si>
    <t>PO-130359</t>
  </si>
  <si>
    <t>IN00139</t>
  </si>
  <si>
    <t>INV-V011-84228</t>
  </si>
  <si>
    <t>PO-789275</t>
  </si>
  <si>
    <t>IN00140</t>
  </si>
  <si>
    <t>INV-V001-65028</t>
  </si>
  <si>
    <t>PO-575682</t>
  </si>
  <si>
    <t>IN00141</t>
  </si>
  <si>
    <t>INV-V011-90981</t>
  </si>
  <si>
    <t>PO-152179</t>
  </si>
  <si>
    <t>IN00142</t>
  </si>
  <si>
    <t>INV-V014-38255</t>
  </si>
  <si>
    <t>PO-891615</t>
  </si>
  <si>
    <t>IN00143</t>
  </si>
  <si>
    <t>INV-V010-38903</t>
  </si>
  <si>
    <t>PO-514463</t>
  </si>
  <si>
    <t>IN00144</t>
  </si>
  <si>
    <t>INV-V010-47938</t>
  </si>
  <si>
    <t>PO-444061</t>
  </si>
  <si>
    <t>IN00145</t>
  </si>
  <si>
    <t>INV-V006-75570</t>
  </si>
  <si>
    <t>PO-685864</t>
  </si>
  <si>
    <t>IN00146</t>
  </si>
  <si>
    <t>INV-V013-20205</t>
  </si>
  <si>
    <t>PO-428267</t>
  </si>
  <si>
    <t>IN00147</t>
  </si>
  <si>
    <t>INV-V014-91018</t>
  </si>
  <si>
    <t>PO-582446</t>
  </si>
  <si>
    <t>IN00148</t>
  </si>
  <si>
    <t>INV-V014-78676</t>
  </si>
  <si>
    <t>PO-182467</t>
  </si>
  <si>
    <t>IN00149</t>
  </si>
  <si>
    <t>INV-V008-79547</t>
  </si>
  <si>
    <t>PO-634723</t>
  </si>
  <si>
    <t>IN00150</t>
  </si>
  <si>
    <t>INV-V005-32740</t>
  </si>
  <si>
    <t>PO-731661</t>
  </si>
  <si>
    <t>IN00151</t>
  </si>
  <si>
    <t>INV-V006-85952</t>
  </si>
  <si>
    <t>PO-570711</t>
  </si>
  <si>
    <t>IN00152</t>
  </si>
  <si>
    <t>INV-V020-29786</t>
  </si>
  <si>
    <t>PO-561124</t>
  </si>
  <si>
    <t>IN00153</t>
  </si>
  <si>
    <t>INV-V009-14929</t>
  </si>
  <si>
    <t>PO-159653</t>
  </si>
  <si>
    <t>IN00154</t>
  </si>
  <si>
    <t>INV-V003-15376</t>
  </si>
  <si>
    <t>PO-571579</t>
  </si>
  <si>
    <t>IN00155</t>
  </si>
  <si>
    <t>INV-V011-69050</t>
  </si>
  <si>
    <t>PO-208529</t>
  </si>
  <si>
    <t>IN00156</t>
  </si>
  <si>
    <t>INV-V003-67595</t>
  </si>
  <si>
    <t>PO-649525</t>
  </si>
  <si>
    <t>IN00157</t>
  </si>
  <si>
    <t>INV-V010-88366</t>
  </si>
  <si>
    <t>PO-154909</t>
  </si>
  <si>
    <t>IN00158</t>
  </si>
  <si>
    <t>INV-V011-43029</t>
  </si>
  <si>
    <t>PO-858889</t>
  </si>
  <si>
    <t>IN00159</t>
  </si>
  <si>
    <t>INV-V005-55851</t>
  </si>
  <si>
    <t>PO-425301</t>
  </si>
  <si>
    <t>IN00160</t>
  </si>
  <si>
    <t>INV-V005-53054</t>
  </si>
  <si>
    <t>PO-952686</t>
  </si>
  <si>
    <t>IN00161</t>
  </si>
  <si>
    <t>INV-V017-57425</t>
  </si>
  <si>
    <t>PO-119116</t>
  </si>
  <si>
    <t>IN00162</t>
  </si>
  <si>
    <t>INV-V011-30308</t>
  </si>
  <si>
    <t>PO-180913</t>
  </si>
  <si>
    <t>IN00163</t>
  </si>
  <si>
    <t>INV-V018-91006</t>
  </si>
  <si>
    <t>PO-237414</t>
  </si>
  <si>
    <t>IN00164</t>
  </si>
  <si>
    <t>INV-V020-41133</t>
  </si>
  <si>
    <t>PO-565776</t>
  </si>
  <si>
    <t>IN00165</t>
  </si>
  <si>
    <t>INV-V008-71474</t>
  </si>
  <si>
    <t>PO-975679</t>
  </si>
  <si>
    <t>IN00166</t>
  </si>
  <si>
    <t>INV-V015-75916</t>
  </si>
  <si>
    <t>PO-653081</t>
  </si>
  <si>
    <t>IN00167</t>
  </si>
  <si>
    <t>INV-V020-58655</t>
  </si>
  <si>
    <t>PO-681478</t>
  </si>
  <si>
    <t>IN00168</t>
  </si>
  <si>
    <t>INV-V004-68893</t>
  </si>
  <si>
    <t>PO-638289</t>
  </si>
  <si>
    <t>IN00169</t>
  </si>
  <si>
    <t>INV-V015-61964</t>
  </si>
  <si>
    <t>PO-626392</t>
  </si>
  <si>
    <t>IN00170</t>
  </si>
  <si>
    <t>INV-V012-95191</t>
  </si>
  <si>
    <t>PO-451577</t>
  </si>
  <si>
    <t>IN00171</t>
  </si>
  <si>
    <t>INV-V016-90654</t>
  </si>
  <si>
    <t>PO-105506</t>
  </si>
  <si>
    <t>IN00172</t>
  </si>
  <si>
    <t>INV-V005-65476</t>
  </si>
  <si>
    <t>PO-216587</t>
  </si>
  <si>
    <t>IN00173</t>
  </si>
  <si>
    <t>INV-V002-69914</t>
  </si>
  <si>
    <t>PO-165858</t>
  </si>
  <si>
    <t>IN00174</t>
  </si>
  <si>
    <t>INV-V018-28818</t>
  </si>
  <si>
    <t>PO-405420</t>
  </si>
  <si>
    <t>IN00175</t>
  </si>
  <si>
    <t>INV-V019-78614</t>
  </si>
  <si>
    <t>PO-478120</t>
  </si>
  <si>
    <t>IN00176</t>
  </si>
  <si>
    <t>INV-V017-15706</t>
  </si>
  <si>
    <t>PO-766549</t>
  </si>
  <si>
    <t>IN00177</t>
  </si>
  <si>
    <t>INV-V001-96127</t>
  </si>
  <si>
    <t>PO-758775</t>
  </si>
  <si>
    <t>IN00178</t>
  </si>
  <si>
    <t>INV-V005-94252</t>
  </si>
  <si>
    <t>PO-283594</t>
  </si>
  <si>
    <t>IN00179</t>
  </si>
  <si>
    <t>INV-V016-69988</t>
  </si>
  <si>
    <t>PO-138780</t>
  </si>
  <si>
    <t>IN00180</t>
  </si>
  <si>
    <t>INV-V002-81176</t>
  </si>
  <si>
    <t>PO-596395</t>
  </si>
  <si>
    <t>IN00181</t>
  </si>
  <si>
    <t>INV-V010-45811</t>
  </si>
  <si>
    <t>PO-230521</t>
  </si>
  <si>
    <t>IN00182</t>
  </si>
  <si>
    <t>INV-V015-75211</t>
  </si>
  <si>
    <t>PO-485191</t>
  </si>
  <si>
    <t>IN00183</t>
  </si>
  <si>
    <t>INV-V014-33652</t>
  </si>
  <si>
    <t>PO-671971</t>
  </si>
  <si>
    <t>IN00184</t>
  </si>
  <si>
    <t>INV-V010-31842</t>
  </si>
  <si>
    <t>PO-823270</t>
  </si>
  <si>
    <t>IN00185</t>
  </si>
  <si>
    <t>INV-V012-17518</t>
  </si>
  <si>
    <t>PO-178686</t>
  </si>
  <si>
    <t>IN00186</t>
  </si>
  <si>
    <t>INV-V006-67432</t>
  </si>
  <si>
    <t>PO-136489</t>
  </si>
  <si>
    <t>IN00187</t>
  </si>
  <si>
    <t>INV-V012-89310</t>
  </si>
  <si>
    <t>PO-260891</t>
  </si>
  <si>
    <t>IN00188</t>
  </si>
  <si>
    <t>INV-V015-62171</t>
  </si>
  <si>
    <t>PO-429657</t>
  </si>
  <si>
    <t>IN00189</t>
  </si>
  <si>
    <t>INV-V001-83619</t>
  </si>
  <si>
    <t>PO-223481</t>
  </si>
  <si>
    <t>IN00190</t>
  </si>
  <si>
    <t>INV-V007-36237</t>
  </si>
  <si>
    <t>PO-228594</t>
  </si>
  <si>
    <t>IN00191</t>
  </si>
  <si>
    <t>INV-V015-51889</t>
  </si>
  <si>
    <t>PO-800280</t>
  </si>
  <si>
    <t>IN00192</t>
  </si>
  <si>
    <t>INV-V010-93584</t>
  </si>
  <si>
    <t>PO-282547</t>
  </si>
  <si>
    <t>IN00193</t>
  </si>
  <si>
    <t>INV-V007-57303</t>
  </si>
  <si>
    <t>PO-680933</t>
  </si>
  <si>
    <t>IN00194</t>
  </si>
  <si>
    <t>INV-V005-72739</t>
  </si>
  <si>
    <t>PO-651231</t>
  </si>
  <si>
    <t>IN00195</t>
  </si>
  <si>
    <t>INV-V003-68979</t>
  </si>
  <si>
    <t>PO-588461</t>
  </si>
  <si>
    <t>IN00196</t>
  </si>
  <si>
    <t>INV-V019-75911</t>
  </si>
  <si>
    <t>PO-158104</t>
  </si>
  <si>
    <t>IN00197</t>
  </si>
  <si>
    <t>INV-V006-55353</t>
  </si>
  <si>
    <t>PO-644103</t>
  </si>
  <si>
    <t>IN00198</t>
  </si>
  <si>
    <t>INV-V007-90534</t>
  </si>
  <si>
    <t>PO-659392</t>
  </si>
  <si>
    <t>IN00199</t>
  </si>
  <si>
    <t>INV-V019-89316</t>
  </si>
  <si>
    <t>PO-454019</t>
  </si>
  <si>
    <t>IN00200</t>
  </si>
  <si>
    <t>INV-V003-44688</t>
  </si>
  <si>
    <t>PO-782759</t>
  </si>
  <si>
    <t>IN00201</t>
  </si>
  <si>
    <t>INV-V001-94136</t>
  </si>
  <si>
    <t>PO-416768</t>
  </si>
  <si>
    <t>IN00202</t>
  </si>
  <si>
    <t>INV-V013-30719</t>
  </si>
  <si>
    <t>PO-560959</t>
  </si>
  <si>
    <t>IN00203</t>
  </si>
  <si>
    <t>INV-V020-55268</t>
  </si>
  <si>
    <t>PO-518084</t>
  </si>
  <si>
    <t>IN00204</t>
  </si>
  <si>
    <t>INV-V004-68929</t>
  </si>
  <si>
    <t>PO-359961</t>
  </si>
  <si>
    <t>IN00205</t>
  </si>
  <si>
    <t>INV-V020-30932</t>
  </si>
  <si>
    <t>PO-952993</t>
  </si>
  <si>
    <t>IN00206</t>
  </si>
  <si>
    <t>INV-V007-75373</t>
  </si>
  <si>
    <t>PO-423528</t>
  </si>
  <si>
    <t>IN00207</t>
  </si>
  <si>
    <t>INV-V017-56254</t>
  </si>
  <si>
    <t>PO-151021</t>
  </si>
  <si>
    <t>IN00208</t>
  </si>
  <si>
    <t>INV-V016-66482</t>
  </si>
  <si>
    <t>PO-240440</t>
  </si>
  <si>
    <t>IN00209</t>
  </si>
  <si>
    <t>INV-V012-35513</t>
  </si>
  <si>
    <t>PO-480133</t>
  </si>
  <si>
    <t>IN00210</t>
  </si>
  <si>
    <t>INV-V015-99181</t>
  </si>
  <si>
    <t>PO-740725</t>
  </si>
  <si>
    <t>IN00211</t>
  </si>
  <si>
    <t>INV-V012-28909</t>
  </si>
  <si>
    <t>PO-308727</t>
  </si>
  <si>
    <t>IN00212</t>
  </si>
  <si>
    <t>INV-V002-72094</t>
  </si>
  <si>
    <t>PO-644559</t>
  </si>
  <si>
    <t>IN00213</t>
  </si>
  <si>
    <t>INV-V005-61505</t>
  </si>
  <si>
    <t>PO-746447</t>
  </si>
  <si>
    <t>IN00214</t>
  </si>
  <si>
    <t>INV-V017-49294</t>
  </si>
  <si>
    <t>PO-597960</t>
  </si>
  <si>
    <t>IN00215</t>
  </si>
  <si>
    <t>INV-V004-92478</t>
  </si>
  <si>
    <t>PO-127941</t>
  </si>
  <si>
    <t>IN00216</t>
  </si>
  <si>
    <t>INV-V019-32349</t>
  </si>
  <si>
    <t>PO-649697</t>
  </si>
  <si>
    <t>IN00217</t>
  </si>
  <si>
    <t>INV-V005-24404</t>
  </si>
  <si>
    <t>PO-300051</t>
  </si>
  <si>
    <t>IN00218</t>
  </si>
  <si>
    <t>INV-V014-71814</t>
  </si>
  <si>
    <t>PO-989587</t>
  </si>
  <si>
    <t>IN00219</t>
  </si>
  <si>
    <t>INV-V017-72701</t>
  </si>
  <si>
    <t>PO-651002</t>
  </si>
  <si>
    <t>IN00220</t>
  </si>
  <si>
    <t>INV-V018-99226</t>
  </si>
  <si>
    <t>PO-774558</t>
  </si>
  <si>
    <t>IN00221</t>
  </si>
  <si>
    <t>INV-V007-49008</t>
  </si>
  <si>
    <t>PO-908634</t>
  </si>
  <si>
    <t>IN00222</t>
  </si>
  <si>
    <t>INV-V016-45842</t>
  </si>
  <si>
    <t>PO-401769</t>
  </si>
  <si>
    <t>IN00223</t>
  </si>
  <si>
    <t>INV-V013-48070</t>
  </si>
  <si>
    <t>PO-144109</t>
  </si>
  <si>
    <t>IN00224</t>
  </si>
  <si>
    <t>INV-V015-80592</t>
  </si>
  <si>
    <t>PO-384303</t>
  </si>
  <si>
    <t>IN00225</t>
  </si>
  <si>
    <t>INV-V004-79604</t>
  </si>
  <si>
    <t>PO-336633</t>
  </si>
  <si>
    <t>IN00226</t>
  </si>
  <si>
    <t>INV-V011-10679</t>
  </si>
  <si>
    <t>PO-677086</t>
  </si>
  <si>
    <t>IN00227</t>
  </si>
  <si>
    <t>INV-V016-47649</t>
  </si>
  <si>
    <t>PO-436768</t>
  </si>
  <si>
    <t>IN00228</t>
  </si>
  <si>
    <t>INV-V019-14888</t>
  </si>
  <si>
    <t>PO-283568</t>
  </si>
  <si>
    <t>IN00229</t>
  </si>
  <si>
    <t>INV-V013-47941</t>
  </si>
  <si>
    <t>PO-139286</t>
  </si>
  <si>
    <t>IN00230</t>
  </si>
  <si>
    <t>INV-V011-78723</t>
  </si>
  <si>
    <t>PO-617904</t>
  </si>
  <si>
    <t>IN00231</t>
  </si>
  <si>
    <t>INV-V015-31298</t>
  </si>
  <si>
    <t>PO-866634</t>
  </si>
  <si>
    <t>IN00232</t>
  </si>
  <si>
    <t>INV-V001-35318</t>
  </si>
  <si>
    <t>PO-284019</t>
  </si>
  <si>
    <t>IN00233</t>
  </si>
  <si>
    <t>INV-V014-22502</t>
  </si>
  <si>
    <t>PO-293757</t>
  </si>
  <si>
    <t>IN00234</t>
  </si>
  <si>
    <t>INV-V001-44995</t>
  </si>
  <si>
    <t>PO-445637</t>
  </si>
  <si>
    <t>IN00235</t>
  </si>
  <si>
    <t>INV-V009-50213</t>
  </si>
  <si>
    <t>PO-267475</t>
  </si>
  <si>
    <t>IN00236</t>
  </si>
  <si>
    <t>INV-V010-58174</t>
  </si>
  <si>
    <t>PO-744481</t>
  </si>
  <si>
    <t>IN00237</t>
  </si>
  <si>
    <t>INV-V005-64505</t>
  </si>
  <si>
    <t>PO-836038</t>
  </si>
  <si>
    <t>IN00238</t>
  </si>
  <si>
    <t>INV-V007-20730</t>
  </si>
  <si>
    <t>PO-651033</t>
  </si>
  <si>
    <t>IN00239</t>
  </si>
  <si>
    <t>INV-V019-76255</t>
  </si>
  <si>
    <t>PO-311976</t>
  </si>
  <si>
    <t>IN00240</t>
  </si>
  <si>
    <t>INV-V017-86434</t>
  </si>
  <si>
    <t>PO-612573</t>
  </si>
  <si>
    <t>IN00241</t>
  </si>
  <si>
    <t>INV-V015-17567</t>
  </si>
  <si>
    <t>PO-685941</t>
  </si>
  <si>
    <t>IN00242</t>
  </si>
  <si>
    <t>INV-V001-19572</t>
  </si>
  <si>
    <t>PO-147489</t>
  </si>
  <si>
    <t>IN00243</t>
  </si>
  <si>
    <t>INV-V002-47629</t>
  </si>
  <si>
    <t>PO-528728</t>
  </si>
  <si>
    <t>IN00244</t>
  </si>
  <si>
    <t>INV-V014-59479</t>
  </si>
  <si>
    <t>PO-493892</t>
  </si>
  <si>
    <t>IN00245</t>
  </si>
  <si>
    <t>INV-V005-61518</t>
  </si>
  <si>
    <t>PO-654531</t>
  </si>
  <si>
    <t>IN00246</t>
  </si>
  <si>
    <t>INV-V001-65591</t>
  </si>
  <si>
    <t>PO-657772</t>
  </si>
  <si>
    <t>IN00247</t>
  </si>
  <si>
    <t>INV-V012-24790</t>
  </si>
  <si>
    <t>PO-133782</t>
  </si>
  <si>
    <t>IN00248</t>
  </si>
  <si>
    <t>INV-V008-68515</t>
  </si>
  <si>
    <t>PO-726822</t>
  </si>
  <si>
    <t>IN00249</t>
  </si>
  <si>
    <t>INV-V002-17398</t>
  </si>
  <si>
    <t>PO-246942</t>
  </si>
  <si>
    <t>IN00250</t>
  </si>
  <si>
    <t>INV-V019-52030</t>
  </si>
  <si>
    <t>PO-348411</t>
  </si>
  <si>
    <t>IN00251</t>
  </si>
  <si>
    <t>INV-V017-82970</t>
  </si>
  <si>
    <t>PO-720407</t>
  </si>
  <si>
    <t>IN00252</t>
  </si>
  <si>
    <t>INV-V014-94320</t>
  </si>
  <si>
    <t>PO-803953</t>
  </si>
  <si>
    <t>IN00253</t>
  </si>
  <si>
    <t>INV-V014-80507</t>
  </si>
  <si>
    <t>PO-596520</t>
  </si>
  <si>
    <t>IN00254</t>
  </si>
  <si>
    <t>INV-V005-64592</t>
  </si>
  <si>
    <t>PO-684357</t>
  </si>
  <si>
    <t>IN00255</t>
  </si>
  <si>
    <t>INV-V007-58637</t>
  </si>
  <si>
    <t>PO-196955</t>
  </si>
  <si>
    <t>IN00256</t>
  </si>
  <si>
    <t>INV-V009-19539</t>
  </si>
  <si>
    <t>PO-297303</t>
  </si>
  <si>
    <t>IN00257</t>
  </si>
  <si>
    <t>INV-V018-53642</t>
  </si>
  <si>
    <t>PO-417915</t>
  </si>
  <si>
    <t>IN00258</t>
  </si>
  <si>
    <t>INV-V004-36805</t>
  </si>
  <si>
    <t>PO-515898</t>
  </si>
  <si>
    <t>IN00259</t>
  </si>
  <si>
    <t>INV-V013-44283</t>
  </si>
  <si>
    <t>PO-477114</t>
  </si>
  <si>
    <t>IN00260</t>
  </si>
  <si>
    <t>INV-V016-64254</t>
  </si>
  <si>
    <t>PO-147936</t>
  </si>
  <si>
    <t>IN00261</t>
  </si>
  <si>
    <t>INV-V001-64732</t>
  </si>
  <si>
    <t>PO-409531</t>
  </si>
  <si>
    <t>IN00262</t>
  </si>
  <si>
    <t>INV-V019-99764</t>
  </si>
  <si>
    <t>PO-453961</t>
  </si>
  <si>
    <t>IN00263</t>
  </si>
  <si>
    <t>INV-V016-32185</t>
  </si>
  <si>
    <t>PO-246757</t>
  </si>
  <si>
    <t>IN00264</t>
  </si>
  <si>
    <t>INV-V002-97584</t>
  </si>
  <si>
    <t>PO-150871</t>
  </si>
  <si>
    <t>IN00265</t>
  </si>
  <si>
    <t>INV-V008-58916</t>
  </si>
  <si>
    <t>PO-163386</t>
  </si>
  <si>
    <t>IN00266</t>
  </si>
  <si>
    <t>INV-V016-63914</t>
  </si>
  <si>
    <t>PO-112426</t>
  </si>
  <si>
    <t>IN00267</t>
  </si>
  <si>
    <t>INV-V010-66436</t>
  </si>
  <si>
    <t>PO-945328</t>
  </si>
  <si>
    <t>IN00268</t>
  </si>
  <si>
    <t>INV-V017-43084</t>
  </si>
  <si>
    <t>PO-954814</t>
  </si>
  <si>
    <t>IN00269</t>
  </si>
  <si>
    <t>INV-V012-39603</t>
  </si>
  <si>
    <t>PO-414546</t>
  </si>
  <si>
    <t>IN00270</t>
  </si>
  <si>
    <t>INV-V002-72390</t>
  </si>
  <si>
    <t>PO-158840</t>
  </si>
  <si>
    <t>IN00271</t>
  </si>
  <si>
    <t>INV-V016-22499</t>
  </si>
  <si>
    <t>PO-653815</t>
  </si>
  <si>
    <t>IN00272</t>
  </si>
  <si>
    <t>INV-V019-99709</t>
  </si>
  <si>
    <t>PO-393992</t>
  </si>
  <si>
    <t>IN00273</t>
  </si>
  <si>
    <t>INV-V006-28899</t>
  </si>
  <si>
    <t>PO-888795</t>
  </si>
  <si>
    <t>IN00274</t>
  </si>
  <si>
    <t>INV-V010-61007</t>
  </si>
  <si>
    <t>PO-809922</t>
  </si>
  <si>
    <t>IN00275</t>
  </si>
  <si>
    <t>INV-V005-17038</t>
  </si>
  <si>
    <t>PO-202430</t>
  </si>
  <si>
    <t>IN00276</t>
  </si>
  <si>
    <t>INV-V020-93115</t>
  </si>
  <si>
    <t>PO-386604</t>
  </si>
  <si>
    <t>IN00277</t>
  </si>
  <si>
    <t>INV-V012-99088</t>
  </si>
  <si>
    <t>PO-714334</t>
  </si>
  <si>
    <t>IN00278</t>
  </si>
  <si>
    <t>INV-V010-30214</t>
  </si>
  <si>
    <t>PO-498458</t>
  </si>
  <si>
    <t>IN00279</t>
  </si>
  <si>
    <t>INV-V013-50405</t>
  </si>
  <si>
    <t>PO-566339</t>
  </si>
  <si>
    <t>IN00280</t>
  </si>
  <si>
    <t>INV-V003-77166</t>
  </si>
  <si>
    <t>PO-527865</t>
  </si>
  <si>
    <t>IN00281</t>
  </si>
  <si>
    <t>INV-V003-21101</t>
  </si>
  <si>
    <t>PO-860053</t>
  </si>
  <si>
    <t>IN00282</t>
  </si>
  <si>
    <t>INV-V019-28198</t>
  </si>
  <si>
    <t>PO-381981</t>
  </si>
  <si>
    <t>IN00283</t>
  </si>
  <si>
    <t>INV-V006-20082</t>
  </si>
  <si>
    <t>PO-478666</t>
  </si>
  <si>
    <t>IN00284</t>
  </si>
  <si>
    <t>INV-V016-10887</t>
  </si>
  <si>
    <t>PO-514913</t>
  </si>
  <si>
    <t>IN00285</t>
  </si>
  <si>
    <t>INV-V015-95332</t>
  </si>
  <si>
    <t>PO-723266</t>
  </si>
  <si>
    <t>IN00286</t>
  </si>
  <si>
    <t>INV-V007-51830</t>
  </si>
  <si>
    <t>PO-405605</t>
  </si>
  <si>
    <t>IN00287</t>
  </si>
  <si>
    <t>INV-V008-61502</t>
  </si>
  <si>
    <t>PO-482746</t>
  </si>
  <si>
    <t>IN00288</t>
  </si>
  <si>
    <t>INV-V018-70505</t>
  </si>
  <si>
    <t>PO-842776</t>
  </si>
  <si>
    <t>IN00289</t>
  </si>
  <si>
    <t>INV-V003-49692</t>
  </si>
  <si>
    <t>PO-353777</t>
  </si>
  <si>
    <t>IN00290</t>
  </si>
  <si>
    <t>INV-V013-86315</t>
  </si>
  <si>
    <t>PO-520274</t>
  </si>
  <si>
    <t>IN00291</t>
  </si>
  <si>
    <t>INV-V014-80373</t>
  </si>
  <si>
    <t>PO-722665</t>
  </si>
  <si>
    <t>IN00292</t>
  </si>
  <si>
    <t>INV-V012-98797</t>
  </si>
  <si>
    <t>PO-778159</t>
  </si>
  <si>
    <t>IN00293</t>
  </si>
  <si>
    <t>INV-V004-77999</t>
  </si>
  <si>
    <t>PO-685098</t>
  </si>
  <si>
    <t>IN00294</t>
  </si>
  <si>
    <t>INV-V012-75597</t>
  </si>
  <si>
    <t>PO-258067</t>
  </si>
  <si>
    <t>IN00295</t>
  </si>
  <si>
    <t>INV-V010-28569</t>
  </si>
  <si>
    <t>PO-465249</t>
  </si>
  <si>
    <t>IN00296</t>
  </si>
  <si>
    <t>INV-V017-69303</t>
  </si>
  <si>
    <t>PO-434400</t>
  </si>
  <si>
    <t>IN00297</t>
  </si>
  <si>
    <t>INV-V004-98754</t>
  </si>
  <si>
    <t>PO-938913</t>
  </si>
  <si>
    <t>IN00298</t>
  </si>
  <si>
    <t>INV-V017-65885</t>
  </si>
  <si>
    <t>PO-584498</t>
  </si>
  <si>
    <t>IN00299</t>
  </si>
  <si>
    <t>INV-V006-35863</t>
  </si>
  <si>
    <t>PO-571413</t>
  </si>
  <si>
    <t>IN00300</t>
  </si>
  <si>
    <t>INV-V007-18200</t>
  </si>
  <si>
    <t>PO-705393</t>
  </si>
  <si>
    <t>IN00301</t>
  </si>
  <si>
    <t>INV-V012-97910</t>
  </si>
  <si>
    <t>PO-613261</t>
  </si>
  <si>
    <t>IN00302</t>
  </si>
  <si>
    <t>INV-V013-70012</t>
  </si>
  <si>
    <t>PO-747351</t>
  </si>
  <si>
    <t>IN00303</t>
  </si>
  <si>
    <t>INV-V020-41270</t>
  </si>
  <si>
    <t>PO-420214</t>
  </si>
  <si>
    <t>IN00304</t>
  </si>
  <si>
    <t>INV-V017-60293</t>
  </si>
  <si>
    <t>PO-543588</t>
  </si>
  <si>
    <t>IN00305</t>
  </si>
  <si>
    <t>INV-V006-34523</t>
  </si>
  <si>
    <t>PO-429861</t>
  </si>
  <si>
    <t>IN00306</t>
  </si>
  <si>
    <t>INV-V001-83607</t>
  </si>
  <si>
    <t>PO-629990</t>
  </si>
  <si>
    <t>IN00307</t>
  </si>
  <si>
    <t>INV-V014-14044</t>
  </si>
  <si>
    <t>PO-934541</t>
  </si>
  <si>
    <t>IN00308</t>
  </si>
  <si>
    <t>INV-V008-84140</t>
  </si>
  <si>
    <t>PO-878586</t>
  </si>
  <si>
    <t>IN00309</t>
  </si>
  <si>
    <t>INV-V004-58085</t>
  </si>
  <si>
    <t>PO-668373</t>
  </si>
  <si>
    <t>IN00310</t>
  </si>
  <si>
    <t>INV-V015-95678</t>
  </si>
  <si>
    <t>PO-887842</t>
  </si>
  <si>
    <t>IN00311</t>
  </si>
  <si>
    <t>INV-V015-67549</t>
  </si>
  <si>
    <t>PO-223088</t>
  </si>
  <si>
    <t>IN00312</t>
  </si>
  <si>
    <t>INV-V019-66120</t>
  </si>
  <si>
    <t>PO-274044</t>
  </si>
  <si>
    <t>IN00313</t>
  </si>
  <si>
    <t>INV-V002-32069</t>
  </si>
  <si>
    <t>PO-439375</t>
  </si>
  <si>
    <t>IN00314</t>
  </si>
  <si>
    <t>INV-V009-22481</t>
  </si>
  <si>
    <t>PO-242175</t>
  </si>
  <si>
    <t>IN00315</t>
  </si>
  <si>
    <t>INV-V009-29168</t>
  </si>
  <si>
    <t>PO-845951</t>
  </si>
  <si>
    <t>IN00316</t>
  </si>
  <si>
    <t>INV-V013-92288</t>
  </si>
  <si>
    <t>PO-534346</t>
  </si>
  <si>
    <t>IN00317</t>
  </si>
  <si>
    <t>INV-V013-58374</t>
  </si>
  <si>
    <t>PO-576782</t>
  </si>
  <si>
    <t>IN00318</t>
  </si>
  <si>
    <t>INV-V003-18300</t>
  </si>
  <si>
    <t>PO-934328</t>
  </si>
  <si>
    <t>IN00319</t>
  </si>
  <si>
    <t>INV-V007-54270</t>
  </si>
  <si>
    <t>PO-673896</t>
  </si>
  <si>
    <t>IN00320</t>
  </si>
  <si>
    <t>INV-V011-70238</t>
  </si>
  <si>
    <t>PO-117072</t>
  </si>
  <si>
    <t>IN00321</t>
  </si>
  <si>
    <t>INV-V015-27290</t>
  </si>
  <si>
    <t>PO-781571</t>
  </si>
  <si>
    <t>IN00322</t>
  </si>
  <si>
    <t>INV-V003-95054</t>
  </si>
  <si>
    <t>PO-273565</t>
  </si>
  <si>
    <t>IN00323</t>
  </si>
  <si>
    <t>INV-V008-10142</t>
  </si>
  <si>
    <t>PO-323788</t>
  </si>
  <si>
    <t>IN00324</t>
  </si>
  <si>
    <t>INV-V017-25806</t>
  </si>
  <si>
    <t>PO-542828</t>
  </si>
  <si>
    <t>IN00325</t>
  </si>
  <si>
    <t>INV-V013-51071</t>
  </si>
  <si>
    <t>PO-485416</t>
  </si>
  <si>
    <t>IN00326</t>
  </si>
  <si>
    <t>INV-V005-67684</t>
  </si>
  <si>
    <t>PO-468247</t>
  </si>
  <si>
    <t>IN00327</t>
  </si>
  <si>
    <t>INV-V014-23168</t>
  </si>
  <si>
    <t>PO-246814</t>
  </si>
  <si>
    <t>IN00328</t>
  </si>
  <si>
    <t>INV-V012-46302</t>
  </si>
  <si>
    <t>PO-775933</t>
  </si>
  <si>
    <t>IN00329</t>
  </si>
  <si>
    <t>INV-V020-96298</t>
  </si>
  <si>
    <t>PO-416302</t>
  </si>
  <si>
    <t>IN00330</t>
  </si>
  <si>
    <t>INV-V013-41370</t>
  </si>
  <si>
    <t>PO-618927</t>
  </si>
  <si>
    <t>IN00331</t>
  </si>
  <si>
    <t>INV-V020-57329</t>
  </si>
  <si>
    <t>PO-431845</t>
  </si>
  <si>
    <t>IN00332</t>
  </si>
  <si>
    <t>INV-V014-71736</t>
  </si>
  <si>
    <t>PO-907788</t>
  </si>
  <si>
    <t>IN00333</t>
  </si>
  <si>
    <t>INV-V009-76402</t>
  </si>
  <si>
    <t>PO-400404</t>
  </si>
  <si>
    <t>IN00334</t>
  </si>
  <si>
    <t>INV-V014-90746</t>
  </si>
  <si>
    <t>PO-260097</t>
  </si>
  <si>
    <t>IN00335</t>
  </si>
  <si>
    <t>INV-V007-93138</t>
  </si>
  <si>
    <t>PO-900298</t>
  </si>
  <si>
    <t>IN00336</t>
  </si>
  <si>
    <t>INV-V010-17589</t>
  </si>
  <si>
    <t>PO-356355</t>
  </si>
  <si>
    <t>IN00337</t>
  </si>
  <si>
    <t>INV-V020-33022</t>
  </si>
  <si>
    <t>PO-225245</t>
  </si>
  <si>
    <t>IN00338</t>
  </si>
  <si>
    <t>INV-V006-43980</t>
  </si>
  <si>
    <t>PO-275073</t>
  </si>
  <si>
    <t>IN00339</t>
  </si>
  <si>
    <t>INV-V004-78662</t>
  </si>
  <si>
    <t>PO-166974</t>
  </si>
  <si>
    <t>IN00340</t>
  </si>
  <si>
    <t>INV-V003-75484</t>
  </si>
  <si>
    <t>PO-694423</t>
  </si>
  <si>
    <t>IN00341</t>
  </si>
  <si>
    <t>INV-V019-15772</t>
  </si>
  <si>
    <t>PO-112884</t>
  </si>
  <si>
    <t>IN00342</t>
  </si>
  <si>
    <t>INV-V005-82465</t>
  </si>
  <si>
    <t>PO-942127</t>
  </si>
  <si>
    <t>IN00343</t>
  </si>
  <si>
    <t>INV-V008-51934</t>
  </si>
  <si>
    <t>PO-384434</t>
  </si>
  <si>
    <t>IN00344</t>
  </si>
  <si>
    <t>INV-V017-16019</t>
  </si>
  <si>
    <t>PO-520400</t>
  </si>
  <si>
    <t>IN00345</t>
  </si>
  <si>
    <t>INV-V010-58354</t>
  </si>
  <si>
    <t>PO-310418</t>
  </si>
  <si>
    <t>IN00346</t>
  </si>
  <si>
    <t>INV-V020-74665</t>
  </si>
  <si>
    <t>PO-910143</t>
  </si>
  <si>
    <t>IN00347</t>
  </si>
  <si>
    <t>INV-V008-40539</t>
  </si>
  <si>
    <t>PO-667851</t>
  </si>
  <si>
    <t>IN00348</t>
  </si>
  <si>
    <t>INV-V011-50306</t>
  </si>
  <si>
    <t>PO-208998</t>
  </si>
  <si>
    <t>IN00349</t>
  </si>
  <si>
    <t>INV-V016-46677</t>
  </si>
  <si>
    <t>PO-197545</t>
  </si>
  <si>
    <t>IN00350</t>
  </si>
  <si>
    <t>INV-V014-86122</t>
  </si>
  <si>
    <t>PO-200219</t>
  </si>
  <si>
    <t>IN00351</t>
  </si>
  <si>
    <t>INV-V003-41034</t>
  </si>
  <si>
    <t>PO-405844</t>
  </si>
  <si>
    <t>IN00352</t>
  </si>
  <si>
    <t>INV-V011-36569</t>
  </si>
  <si>
    <t>PO-242723</t>
  </si>
  <si>
    <t>IN00353</t>
  </si>
  <si>
    <t>INV-V004-25825</t>
  </si>
  <si>
    <t>PO-661957</t>
  </si>
  <si>
    <t>IN00354</t>
  </si>
  <si>
    <t>INV-V010-30658</t>
  </si>
  <si>
    <t>PO-946826</t>
  </si>
  <si>
    <t>IN00355</t>
  </si>
  <si>
    <t>INV-V020-29441</t>
  </si>
  <si>
    <t>PO-195643</t>
  </si>
  <si>
    <t>IN00356</t>
  </si>
  <si>
    <t>INV-V017-32789</t>
  </si>
  <si>
    <t>PO-132591</t>
  </si>
  <si>
    <t>IN00357</t>
  </si>
  <si>
    <t>INV-V018-28322</t>
  </si>
  <si>
    <t>PO-227352</t>
  </si>
  <si>
    <t>IN00358</t>
  </si>
  <si>
    <t>INV-V005-92614</t>
  </si>
  <si>
    <t>PO-776001</t>
  </si>
  <si>
    <t>IN00359</t>
  </si>
  <si>
    <t>INV-V001-26880</t>
  </si>
  <si>
    <t>PO-196446</t>
  </si>
  <si>
    <t>IN00360</t>
  </si>
  <si>
    <t>INV-V004-66774</t>
  </si>
  <si>
    <t>PO-961599</t>
  </si>
  <si>
    <t>IN00361</t>
  </si>
  <si>
    <t>INV-V014-46042</t>
  </si>
  <si>
    <t>PO-393448</t>
  </si>
  <si>
    <t>IN00362</t>
  </si>
  <si>
    <t>INV-V020-82179</t>
  </si>
  <si>
    <t>PO-602300</t>
  </si>
  <si>
    <t>IN00363</t>
  </si>
  <si>
    <t>INV-V014-42656</t>
  </si>
  <si>
    <t>PO-761393</t>
  </si>
  <si>
    <t>IN00364</t>
  </si>
  <si>
    <t>INV-V013-55093</t>
  </si>
  <si>
    <t>PO-693128</t>
  </si>
  <si>
    <t>IN00365</t>
  </si>
  <si>
    <t>INV-V001-46822</t>
  </si>
  <si>
    <t>PO-161437</t>
  </si>
  <si>
    <t>IN00366</t>
  </si>
  <si>
    <t>INV-V019-96096</t>
  </si>
  <si>
    <t>PO-352867</t>
  </si>
  <si>
    <t>IN00367</t>
  </si>
  <si>
    <t>INV-V002-60911</t>
  </si>
  <si>
    <t>PO-472039</t>
  </si>
  <si>
    <t>IN00368</t>
  </si>
  <si>
    <t>INV-V006-57026</t>
  </si>
  <si>
    <t>PO-720298</t>
  </si>
  <si>
    <t>IN00369</t>
  </si>
  <si>
    <t>INV-V019-74517</t>
  </si>
  <si>
    <t>PO-668458</t>
  </si>
  <si>
    <t>IN00370</t>
  </si>
  <si>
    <t>INV-V002-53481</t>
  </si>
  <si>
    <t>PO-743966</t>
  </si>
  <si>
    <t>IN00371</t>
  </si>
  <si>
    <t>INV-V006-28566</t>
  </si>
  <si>
    <t>PO-911982</t>
  </si>
  <si>
    <t>IN00372</t>
  </si>
  <si>
    <t>INV-V003-86810</t>
  </si>
  <si>
    <t>PO-205939</t>
  </si>
  <si>
    <t>IN00373</t>
  </si>
  <si>
    <t>INV-V014-83659</t>
  </si>
  <si>
    <t>PO-827250</t>
  </si>
  <si>
    <t>IN00374</t>
  </si>
  <si>
    <t>INV-V008-48602</t>
  </si>
  <si>
    <t>PO-233534</t>
  </si>
  <si>
    <t>IN00375</t>
  </si>
  <si>
    <t>INV-V019-84381</t>
  </si>
  <si>
    <t>PO-133955</t>
  </si>
  <si>
    <t>IN00376</t>
  </si>
  <si>
    <t>INV-V008-20198</t>
  </si>
  <si>
    <t>PO-349556</t>
  </si>
  <si>
    <t>IN00377</t>
  </si>
  <si>
    <t>INV-V003-42707</t>
  </si>
  <si>
    <t>PO-826847</t>
  </si>
  <si>
    <t>IN00378</t>
  </si>
  <si>
    <t>INV-V001-31802</t>
  </si>
  <si>
    <t>PO-534130</t>
  </si>
  <si>
    <t>IN00379</t>
  </si>
  <si>
    <t>INV-V013-85766</t>
  </si>
  <si>
    <t>PO-782591</t>
  </si>
  <si>
    <t>IN00380</t>
  </si>
  <si>
    <t>INV-V003-23726</t>
  </si>
  <si>
    <t>PO-177804</t>
  </si>
  <si>
    <t>IN00381</t>
  </si>
  <si>
    <t>INV-V003-54295</t>
  </si>
  <si>
    <t>PO-722886</t>
  </si>
  <si>
    <t>IN00382</t>
  </si>
  <si>
    <t>INV-V001-66911</t>
  </si>
  <si>
    <t>PO-264735</t>
  </si>
  <si>
    <t>IN00383</t>
  </si>
  <si>
    <t>INV-V014-44768</t>
  </si>
  <si>
    <t>PO-792687</t>
  </si>
  <si>
    <t>IN00384</t>
  </si>
  <si>
    <t>INV-V013-57294</t>
  </si>
  <si>
    <t>PO-104000</t>
  </si>
  <si>
    <t>IN00385</t>
  </si>
  <si>
    <t>INV-V020-48248</t>
  </si>
  <si>
    <t>PO-185916</t>
  </si>
  <si>
    <t>IN00386</t>
  </si>
  <si>
    <t>INV-V016-94130</t>
  </si>
  <si>
    <t>PO-670557</t>
  </si>
  <si>
    <t>IN00387</t>
  </si>
  <si>
    <t>INV-V012-70956</t>
  </si>
  <si>
    <t>PO-376195</t>
  </si>
  <si>
    <t>IN00388</t>
  </si>
  <si>
    <t>INV-V005-80968</t>
  </si>
  <si>
    <t>PO-534096</t>
  </si>
  <si>
    <t>IN00389</t>
  </si>
  <si>
    <t>INV-V002-80190</t>
  </si>
  <si>
    <t>PO-820442</t>
  </si>
  <si>
    <t>IN00390</t>
  </si>
  <si>
    <t>INV-V016-14551</t>
  </si>
  <si>
    <t>PO-626491</t>
  </si>
  <si>
    <t>IN00391</t>
  </si>
  <si>
    <t>INV-V020-32659</t>
  </si>
  <si>
    <t>PO-275284</t>
  </si>
  <si>
    <t>IN00392</t>
  </si>
  <si>
    <t>INV-V002-36465</t>
  </si>
  <si>
    <t>PO-962520</t>
  </si>
  <si>
    <t>IN00393</t>
  </si>
  <si>
    <t>INV-V011-82358</t>
  </si>
  <si>
    <t>PO-441968</t>
  </si>
  <si>
    <t>IN00394</t>
  </si>
  <si>
    <t>INV-V020-29613</t>
  </si>
  <si>
    <t>PO-255398</t>
  </si>
  <si>
    <t>IN00395</t>
  </si>
  <si>
    <t>INV-V004-55071</t>
  </si>
  <si>
    <t>PO-530849</t>
  </si>
  <si>
    <t>IN00396</t>
  </si>
  <si>
    <t>INV-V020-28855</t>
  </si>
  <si>
    <t>PO-748276</t>
  </si>
  <si>
    <t>IN00397</t>
  </si>
  <si>
    <t>INV-V013-45203</t>
  </si>
  <si>
    <t>PO-490532</t>
  </si>
  <si>
    <t>IN00398</t>
  </si>
  <si>
    <t>INV-V010-99764</t>
  </si>
  <si>
    <t>PO-202988</t>
  </si>
  <si>
    <t>IN00399</t>
  </si>
  <si>
    <t>INV-V015-94614</t>
  </si>
  <si>
    <t>PO-193624</t>
  </si>
  <si>
    <t>IN00400</t>
  </si>
  <si>
    <t>INV-V016-77537</t>
  </si>
  <si>
    <t>PO-929937</t>
  </si>
  <si>
    <t>IN00401</t>
  </si>
  <si>
    <t>INV-V013-84537</t>
  </si>
  <si>
    <t>PO-130354</t>
  </si>
  <si>
    <t>IN00402</t>
  </si>
  <si>
    <t>INV-V002-36097</t>
  </si>
  <si>
    <t>PO-387286</t>
  </si>
  <si>
    <t>IN00403</t>
  </si>
  <si>
    <t>INV-V004-68471</t>
  </si>
  <si>
    <t>PO-286209</t>
  </si>
  <si>
    <t>IN00404</t>
  </si>
  <si>
    <t>INV-V012-21847</t>
  </si>
  <si>
    <t>PO-398916</t>
  </si>
  <si>
    <t>IN00405</t>
  </si>
  <si>
    <t>INV-V007-45269</t>
  </si>
  <si>
    <t>PO-783238</t>
  </si>
  <si>
    <t>IN00406</t>
  </si>
  <si>
    <t>INV-V001-88792</t>
  </si>
  <si>
    <t>PO-939767</t>
  </si>
  <si>
    <t>IN00407</t>
  </si>
  <si>
    <t>INV-V009-70161</t>
  </si>
  <si>
    <t>PO-364239</t>
  </si>
  <si>
    <t>IN00408</t>
  </si>
  <si>
    <t>INV-V020-59051</t>
  </si>
  <si>
    <t>PO-688730</t>
  </si>
  <si>
    <t>IN00409</t>
  </si>
  <si>
    <t>INV-V004-93964</t>
  </si>
  <si>
    <t>PO-440930</t>
  </si>
  <si>
    <t>IN00410</t>
  </si>
  <si>
    <t>INV-V010-17441</t>
  </si>
  <si>
    <t>PO-944554</t>
  </si>
  <si>
    <t>IN00411</t>
  </si>
  <si>
    <t>INV-V011-48745</t>
  </si>
  <si>
    <t>PO-372028</t>
  </si>
  <si>
    <t>IN00412</t>
  </si>
  <si>
    <t>INV-V002-99957</t>
  </si>
  <si>
    <t>PO-660605</t>
  </si>
  <si>
    <t>IN00413</t>
  </si>
  <si>
    <t>INV-V012-96194</t>
  </si>
  <si>
    <t>PO-685365</t>
  </si>
  <si>
    <t>IN00414</t>
  </si>
  <si>
    <t>INV-V009-95778</t>
  </si>
  <si>
    <t>PO-193637</t>
  </si>
  <si>
    <t>IN00415</t>
  </si>
  <si>
    <t>INV-V014-70786</t>
  </si>
  <si>
    <t>PO-992562</t>
  </si>
  <si>
    <t>IN00416</t>
  </si>
  <si>
    <t>INV-V019-25704</t>
  </si>
  <si>
    <t>PO-813763</t>
  </si>
  <si>
    <t>IN00417</t>
  </si>
  <si>
    <t>INV-V005-84632</t>
  </si>
  <si>
    <t>PO-579798</t>
  </si>
  <si>
    <t>IN00418</t>
  </si>
  <si>
    <t>INV-V003-51079</t>
  </si>
  <si>
    <t>PO-765320</t>
  </si>
  <si>
    <t>IN00419</t>
  </si>
  <si>
    <t>INV-V006-21539</t>
  </si>
  <si>
    <t>PO-235691</t>
  </si>
  <si>
    <t>IN00420</t>
  </si>
  <si>
    <t>INV-V014-58903</t>
  </si>
  <si>
    <t>PO-114760</t>
  </si>
  <si>
    <t>IN00421</t>
  </si>
  <si>
    <t>INV-V007-42613</t>
  </si>
  <si>
    <t>PO-337256</t>
  </si>
  <si>
    <t>IN00422</t>
  </si>
  <si>
    <t>INV-V004-18557</t>
  </si>
  <si>
    <t>PO-963862</t>
  </si>
  <si>
    <t>IN00423</t>
  </si>
  <si>
    <t>INV-V017-27536</t>
  </si>
  <si>
    <t>PO-459381</t>
  </si>
  <si>
    <t>IN00424</t>
  </si>
  <si>
    <t>INV-V006-27197</t>
  </si>
  <si>
    <t>PO-321449</t>
  </si>
  <si>
    <t>IN00425</t>
  </si>
  <si>
    <t>INV-V004-59177</t>
  </si>
  <si>
    <t>PO-771425</t>
  </si>
  <si>
    <t>IN00426</t>
  </si>
  <si>
    <t>INV-V020-12587</t>
  </si>
  <si>
    <t>PO-150578</t>
  </si>
  <si>
    <t>IN00427</t>
  </si>
  <si>
    <t>INV-V004-36934</t>
  </si>
  <si>
    <t>PO-828961</t>
  </si>
  <si>
    <t>IN00428</t>
  </si>
  <si>
    <t>INV-V004-27978</t>
  </si>
  <si>
    <t>PO-539170</t>
  </si>
  <si>
    <t>IN00429</t>
  </si>
  <si>
    <t>INV-V020-75239</t>
  </si>
  <si>
    <t>PO-308296</t>
  </si>
  <si>
    <t>IN00430</t>
  </si>
  <si>
    <t>INV-V007-15164</t>
  </si>
  <si>
    <t>PO-674765</t>
  </si>
  <si>
    <t>IN00431</t>
  </si>
  <si>
    <t>INV-V011-24474</t>
  </si>
  <si>
    <t>PO-975804</t>
  </si>
  <si>
    <t>IN00432</t>
  </si>
  <si>
    <t>INV-V017-43540</t>
  </si>
  <si>
    <t>PO-775636</t>
  </si>
  <si>
    <t>IN00433</t>
  </si>
  <si>
    <t>INV-V009-15170</t>
  </si>
  <si>
    <t>PO-993647</t>
  </si>
  <si>
    <t>IN00434</t>
  </si>
  <si>
    <t>INV-V014-16014</t>
  </si>
  <si>
    <t>PO-110142</t>
  </si>
  <si>
    <t>IN00435</t>
  </si>
  <si>
    <t>INV-V011-45167</t>
  </si>
  <si>
    <t>PO-868677</t>
  </si>
  <si>
    <t>IN00436</t>
  </si>
  <si>
    <t>INV-V004-60556</t>
  </si>
  <si>
    <t>PO-823415</t>
  </si>
  <si>
    <t>IN00437</t>
  </si>
  <si>
    <t>INV-V006-30892</t>
  </si>
  <si>
    <t>PO-208751</t>
  </si>
  <si>
    <t>IN00438</t>
  </si>
  <si>
    <t>INV-V015-90131</t>
  </si>
  <si>
    <t>PO-130216</t>
  </si>
  <si>
    <t>IN00439</t>
  </si>
  <si>
    <t>INV-V005-63907</t>
  </si>
  <si>
    <t>PO-562094</t>
  </si>
  <si>
    <t>IN00440</t>
  </si>
  <si>
    <t>INV-V001-84057</t>
  </si>
  <si>
    <t>PO-334865</t>
  </si>
  <si>
    <t>IN00441</t>
  </si>
  <si>
    <t>INV-V017-66734</t>
  </si>
  <si>
    <t>PO-793856</t>
  </si>
  <si>
    <t>IN00442</t>
  </si>
  <si>
    <t>INV-V013-90335</t>
  </si>
  <si>
    <t>PO-157216</t>
  </si>
  <si>
    <t>IN00443</t>
  </si>
  <si>
    <t>INV-V016-41574</t>
  </si>
  <si>
    <t>PO-446968</t>
  </si>
  <si>
    <t>IN00444</t>
  </si>
  <si>
    <t>INV-V018-70174</t>
  </si>
  <si>
    <t>PO-565765</t>
  </si>
  <si>
    <t>IN00445</t>
  </si>
  <si>
    <t>INV-V015-95638</t>
  </si>
  <si>
    <t>PO-118632</t>
  </si>
  <si>
    <t>IN00446</t>
  </si>
  <si>
    <t>INV-V018-91142</t>
  </si>
  <si>
    <t>PO-768507</t>
  </si>
  <si>
    <t>IN00447</t>
  </si>
  <si>
    <t>INV-V015-69566</t>
  </si>
  <si>
    <t>PO-448098</t>
  </si>
  <si>
    <t>IN00448</t>
  </si>
  <si>
    <t>INV-V012-39064</t>
  </si>
  <si>
    <t>PO-102303</t>
  </si>
  <si>
    <t>IN00449</t>
  </si>
  <si>
    <t>INV-V018-31516</t>
  </si>
  <si>
    <t>PO-616342</t>
  </si>
  <si>
    <t>IN00450</t>
  </si>
  <si>
    <t>INV-V014-25826</t>
  </si>
  <si>
    <t>PO-993590</t>
  </si>
  <si>
    <t>IN00451</t>
  </si>
  <si>
    <t>INV-V011-98098</t>
  </si>
  <si>
    <t>PO-717413</t>
  </si>
  <si>
    <t>IN00452</t>
  </si>
  <si>
    <t>INV-V019-79515</t>
  </si>
  <si>
    <t>PO-871976</t>
  </si>
  <si>
    <t>IN00453</t>
  </si>
  <si>
    <t>INV-V016-85832</t>
  </si>
  <si>
    <t>PO-282085</t>
  </si>
  <si>
    <t>IN00454</t>
  </si>
  <si>
    <t>INV-V020-89822</t>
  </si>
  <si>
    <t>PO-826155</t>
  </si>
  <si>
    <t>IN00455</t>
  </si>
  <si>
    <t>INV-V010-88974</t>
  </si>
  <si>
    <t>PO-834018</t>
  </si>
  <si>
    <t>IN00456</t>
  </si>
  <si>
    <t>INV-V018-92913</t>
  </si>
  <si>
    <t>PO-327900</t>
  </si>
  <si>
    <t>IN00457</t>
  </si>
  <si>
    <t>INV-V012-33306</t>
  </si>
  <si>
    <t>PO-628370</t>
  </si>
  <si>
    <t>IN00458</t>
  </si>
  <si>
    <t>INV-V004-97445</t>
  </si>
  <si>
    <t>PO-844618</t>
  </si>
  <si>
    <t>IN00459</t>
  </si>
  <si>
    <t>INV-V010-13312</t>
  </si>
  <si>
    <t>PO-499371</t>
  </si>
  <si>
    <t>IN00460</t>
  </si>
  <si>
    <t>INV-V009-29192</t>
  </si>
  <si>
    <t>PO-980155</t>
  </si>
  <si>
    <t>IN00461</t>
  </si>
  <si>
    <t>INV-V018-90754</t>
  </si>
  <si>
    <t>PO-808340</t>
  </si>
  <si>
    <t>IN00462</t>
  </si>
  <si>
    <t>INV-V018-47701</t>
  </si>
  <si>
    <t>PO-826596</t>
  </si>
  <si>
    <t>IN00463</t>
  </si>
  <si>
    <t>INV-V014-36619</t>
  </si>
  <si>
    <t>PO-750706</t>
  </si>
  <si>
    <t>IN00464</t>
  </si>
  <si>
    <t>INV-V008-89087</t>
  </si>
  <si>
    <t>PO-306012</t>
  </si>
  <si>
    <t>IN00465</t>
  </si>
  <si>
    <t>INV-V015-77350</t>
  </si>
  <si>
    <t>PO-225151</t>
  </si>
  <si>
    <t>IN00466</t>
  </si>
  <si>
    <t>INV-V009-10739</t>
  </si>
  <si>
    <t>PO-446620</t>
  </si>
  <si>
    <t>IN00467</t>
  </si>
  <si>
    <t>INV-V005-91968</t>
  </si>
  <si>
    <t>PO-745512</t>
  </si>
  <si>
    <t>IN00468</t>
  </si>
  <si>
    <t>INV-V018-78864</t>
  </si>
  <si>
    <t>PO-330646</t>
  </si>
  <si>
    <t>IN00469</t>
  </si>
  <si>
    <t>INV-V006-55796</t>
  </si>
  <si>
    <t>PO-331942</t>
  </si>
  <si>
    <t>IN00470</t>
  </si>
  <si>
    <t>INV-V012-79533</t>
  </si>
  <si>
    <t>PO-597923</t>
  </si>
  <si>
    <t>IN00471</t>
  </si>
  <si>
    <t>INV-V001-94182</t>
  </si>
  <si>
    <t>PO-743512</t>
  </si>
  <si>
    <t>IN00472</t>
  </si>
  <si>
    <t>INV-V011-60577</t>
  </si>
  <si>
    <t>PO-369054</t>
  </si>
  <si>
    <t>IN00473</t>
  </si>
  <si>
    <t>INV-V012-15747</t>
  </si>
  <si>
    <t>PO-410833</t>
  </si>
  <si>
    <t>IN00474</t>
  </si>
  <si>
    <t>INV-V003-80513</t>
  </si>
  <si>
    <t>PO-659106</t>
  </si>
  <si>
    <t>IN00475</t>
  </si>
  <si>
    <t>INV-V007-67047</t>
  </si>
  <si>
    <t>PO-777968</t>
  </si>
  <si>
    <t>IN00476</t>
  </si>
  <si>
    <t>INV-V005-21471</t>
  </si>
  <si>
    <t>PO-176806</t>
  </si>
  <si>
    <t>IN00477</t>
  </si>
  <si>
    <t>INV-V003-69129</t>
  </si>
  <si>
    <t>PO-760830</t>
  </si>
  <si>
    <t>IN00478</t>
  </si>
  <si>
    <t>INV-V004-18288</t>
  </si>
  <si>
    <t>PO-892682</t>
  </si>
  <si>
    <t>IN00479</t>
  </si>
  <si>
    <t>INV-V012-49498</t>
  </si>
  <si>
    <t>PO-736030</t>
  </si>
  <si>
    <t>IN00480</t>
  </si>
  <si>
    <t>INV-V013-38818</t>
  </si>
  <si>
    <t>PO-243006</t>
  </si>
  <si>
    <t>IN00481</t>
  </si>
  <si>
    <t>INV-V010-94926</t>
  </si>
  <si>
    <t>PO-491255</t>
  </si>
  <si>
    <t>IN00482</t>
  </si>
  <si>
    <t>INV-V005-61653</t>
  </si>
  <si>
    <t>PO-663244</t>
  </si>
  <si>
    <t>IN00483</t>
  </si>
  <si>
    <t>INV-V012-77181</t>
  </si>
  <si>
    <t>PO-249375</t>
  </si>
  <si>
    <t>IN00484</t>
  </si>
  <si>
    <t>INV-V007-17128</t>
  </si>
  <si>
    <t>PO-992744</t>
  </si>
  <si>
    <t>IN00485</t>
  </si>
  <si>
    <t>INV-V015-42858</t>
  </si>
  <si>
    <t>PO-202972</t>
  </si>
  <si>
    <t>IN00486</t>
  </si>
  <si>
    <t>INV-V012-47373</t>
  </si>
  <si>
    <t>PO-749609</t>
  </si>
  <si>
    <t>IN00487</t>
  </si>
  <si>
    <t>INV-V015-86568</t>
  </si>
  <si>
    <t>PO-259797</t>
  </si>
  <si>
    <t>IN00488</t>
  </si>
  <si>
    <t>INV-V014-39035</t>
  </si>
  <si>
    <t>PO-846794</t>
  </si>
  <si>
    <t>IN00489</t>
  </si>
  <si>
    <t>INV-V005-57020</t>
  </si>
  <si>
    <t>PO-912402</t>
  </si>
  <si>
    <t>IN00490</t>
  </si>
  <si>
    <t>INV-V020-28350</t>
  </si>
  <si>
    <t>PO-664781</t>
  </si>
  <si>
    <t>IN00491</t>
  </si>
  <si>
    <t>INV-V003-92788</t>
  </si>
  <si>
    <t>PO-132709</t>
  </si>
  <si>
    <t>IN00492</t>
  </si>
  <si>
    <t>INV-V007-80736</t>
  </si>
  <si>
    <t>PO-595036</t>
  </si>
  <si>
    <t>IN00493</t>
  </si>
  <si>
    <t>INV-V008-21869</t>
  </si>
  <si>
    <t>PO-516059</t>
  </si>
  <si>
    <t>IN00494</t>
  </si>
  <si>
    <t>INV-V020-30869</t>
  </si>
  <si>
    <t>PO-287847</t>
  </si>
  <si>
    <t>IN00495</t>
  </si>
  <si>
    <t>INV-V016-40375</t>
  </si>
  <si>
    <t>PO-165914</t>
  </si>
  <si>
    <t>IN00496</t>
  </si>
  <si>
    <t>INV-V007-71561</t>
  </si>
  <si>
    <t>PO-576728</t>
  </si>
  <si>
    <t>IN00497</t>
  </si>
  <si>
    <t>INV-V011-45847</t>
  </si>
  <si>
    <t>PO-975427</t>
  </si>
  <si>
    <t>IN00498</t>
  </si>
  <si>
    <t>INV-V006-95634</t>
  </si>
  <si>
    <t>PO-976052</t>
  </si>
  <si>
    <t>IN00499</t>
  </si>
  <si>
    <t>INV-V017-73813</t>
  </si>
  <si>
    <t>PO-931161</t>
  </si>
  <si>
    <t>IN00500</t>
  </si>
  <si>
    <t>INV-V005-37723</t>
  </si>
  <si>
    <t>PO-257538</t>
  </si>
  <si>
    <t>IN00501</t>
  </si>
  <si>
    <t>IN00502</t>
  </si>
  <si>
    <t>IN00503</t>
  </si>
  <si>
    <t>IN00504</t>
  </si>
  <si>
    <t>IN00505</t>
  </si>
  <si>
    <t>IN00506</t>
  </si>
  <si>
    <t>IN00507</t>
  </si>
  <si>
    <t>IN00508</t>
  </si>
  <si>
    <t>IN00509</t>
  </si>
  <si>
    <t>IN00510</t>
  </si>
  <si>
    <t>IN00511</t>
  </si>
  <si>
    <t>IN00512</t>
  </si>
  <si>
    <t>IN00513</t>
  </si>
  <si>
    <t>IN00514</t>
  </si>
  <si>
    <t>IN00515</t>
  </si>
  <si>
    <t>IN00516</t>
  </si>
  <si>
    <t>IN00517</t>
  </si>
  <si>
    <t>IN00518</t>
  </si>
  <si>
    <t>IN00519</t>
  </si>
  <si>
    <t>IN00520</t>
  </si>
  <si>
    <t>IN00521</t>
  </si>
  <si>
    <t>IN00522</t>
  </si>
  <si>
    <t>IN00523</t>
  </si>
  <si>
    <t>IN00524</t>
  </si>
  <si>
    <t>Payment_ID</t>
  </si>
  <si>
    <t>Payment_Date</t>
  </si>
  <si>
    <t>Payment_Amount</t>
  </si>
  <si>
    <t>Payment_Status</t>
  </si>
  <si>
    <t>Failure_or_Pending_Reason</t>
  </si>
  <si>
    <t>Payment_Method</t>
  </si>
  <si>
    <t>Attempt_Number</t>
  </si>
  <si>
    <t>PAY00001</t>
  </si>
  <si>
    <t>Pending</t>
  </si>
  <si>
    <t>Awaiting approval</t>
  </si>
  <si>
    <t>Wire Transfer</t>
  </si>
  <si>
    <t>PAY00002</t>
  </si>
  <si>
    <t>Account validation failed</t>
  </si>
  <si>
    <t>PAY00003</t>
  </si>
  <si>
    <t>Successful</t>
  </si>
  <si>
    <t>PAY00004</t>
  </si>
  <si>
    <t>PAY00005</t>
  </si>
  <si>
    <t>ACH</t>
  </si>
  <si>
    <t>PAY00006</t>
  </si>
  <si>
    <t>PAY00007</t>
  </si>
  <si>
    <t>PAY00008</t>
  </si>
  <si>
    <t>Bank Transfer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</si>
  <si>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</si>
  <si>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</si>
  <si>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</si>
  <si>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</si>
  <si>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</si>
  <si>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</si>
  <si>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</si>
  <si>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</si>
  <si>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</si>
  <si>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PAY00018</t>
  </si>
  <si>
    <t>Failed</t>
  </si>
  <si>
    <t>Payment batch queued</t>
  </si>
  <si>
    <t>PAY00019</t>
  </si>
  <si>
    <t>Invalid bank details</t>
  </si>
  <si>
    <t>PAY00020</t>
  </si>
  <si>
    <t>PAY00021</t>
  </si>
  <si>
    <t>Payment rejected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</si>
  <si>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</si>
  <si>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</si>
  <si>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</si>
  <si>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</si>
  <si>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</si>
  <si>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</si>
  <si>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</si>
  <si>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</si>
  <si>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</si>
  <si>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</si>
  <si>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</si>
  <si>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</si>
  <si>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</si>
  <si>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</si>
  <si>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</si>
  <si>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</si>
  <si>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</si>
  <si>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</si>
  <si>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</si>
  <si>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</si>
  <si>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</si>
  <si>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</si>
  <si>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</si>
  <si>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</si>
  <si>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</si>
  <si>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</si>
  <si>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</si>
  <si>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</si>
  <si>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</si>
  <si>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</si>
  <si>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</si>
  <si>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</si>
  <si>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</si>
  <si>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</si>
  <si>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</si>
  <si>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</si>
  <si>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</si>
  <si>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Account review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</si>
  <si>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</si>
  <si>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</si>
  <si>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</si>
  <si>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</si>
  <si>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</si>
  <si>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</si>
  <si>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</si>
  <si>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</si>
  <si>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</si>
  <si>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</si>
  <si>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</si>
  <si>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</si>
  <si>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</si>
  <si>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</si>
  <si>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</si>
  <si>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</si>
  <si>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</si>
  <si>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</si>
  <si>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</si>
  <si>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</si>
  <si>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</si>
  <si>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</si>
  <si>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</si>
  <si>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</si>
  <si>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</si>
  <si>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System processing error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</si>
  <si>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</si>
  <si>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</si>
  <si>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</si>
  <si>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</si>
  <si>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</si>
  <si>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</si>
  <si>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</si>
  <si>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</si>
  <si>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</si>
  <si>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</si>
  <si>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Bank confirmation pending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</si>
  <si>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</si>
  <si>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</si>
  <si>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</si>
  <si>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</si>
  <si>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</si>
  <si>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</si>
  <si>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</si>
  <si>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</si>
  <si>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</si>
  <si>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</si>
  <si>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</si>
  <si>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</si>
  <si>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</si>
  <si>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</si>
  <si>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</si>
  <si>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</si>
  <si>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</si>
  <si>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</si>
  <si>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</si>
  <si>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</si>
  <si>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</si>
  <si>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</si>
  <si>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</si>
  <si>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</si>
  <si>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</si>
  <si>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</si>
  <si>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</si>
  <si>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</si>
  <si>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</si>
  <si>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</si>
  <si>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</si>
  <si>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</si>
  <si>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</si>
  <si>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</si>
  <si>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</si>
  <si>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</si>
  <si>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</si>
  <si>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</si>
  <si>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</si>
  <si>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</si>
  <si>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</si>
  <si>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</si>
  <si>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</si>
  <si>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</si>
  <si>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</si>
  <si>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</si>
  <si>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</si>
  <si>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</si>
  <si>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</si>
  <si>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</si>
  <si>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</si>
  <si>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</si>
  <si>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</si>
  <si>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</si>
  <si>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</si>
  <si>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</si>
  <si>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</si>
  <si>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</si>
  <si>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</si>
  <si>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</si>
  <si>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</si>
  <si>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</si>
  <si>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</si>
  <si>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</si>
  <si>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</si>
  <si>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</si>
  <si>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</si>
  <si>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</si>
  <si>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</si>
  <si>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</si>
  <si>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</si>
  <si>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</si>
  <si>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</si>
  <si>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</si>
  <si>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</si>
  <si>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</si>
  <si>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</si>
  <si>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</si>
  <si>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</si>
  <si>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</si>
  <si>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</si>
  <si>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</si>
  <si>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</si>
  <si>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</si>
  <si>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</si>
  <si>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</si>
  <si>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</si>
  <si>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</si>
  <si>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</si>
  <si>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</si>
  <si>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</si>
  <si>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</si>
  <si>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</si>
  <si>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</si>
  <si>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</si>
  <si>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</si>
  <si>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</si>
  <si>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</si>
  <si>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</si>
  <si>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</si>
  <si>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</si>
  <si>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</si>
  <si>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</si>
  <si>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</si>
  <si>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</si>
  <si>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</si>
  <si>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</si>
  <si>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</si>
  <si>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</si>
  <si>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</si>
  <si>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</si>
  <si>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</si>
  <si>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</si>
  <si>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</si>
  <si>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</si>
  <si>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</si>
  <si>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</si>
  <si>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</si>
  <si>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</si>
  <si>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</si>
  <si>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</si>
  <si>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</si>
  <si>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</si>
  <si>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</si>
  <si>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</si>
  <si>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</si>
  <si>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</si>
  <si>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</si>
  <si>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</si>
  <si>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</si>
  <si>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</si>
  <si>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</si>
  <si>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</si>
  <si>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</si>
  <si>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</si>
  <si>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</si>
  <si>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</si>
  <si>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</si>
  <si>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</si>
  <si>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</si>
  <si>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</si>
  <si>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</si>
  <si>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</si>
  <si>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</si>
  <si>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</si>
  <si>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</si>
  <si>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</si>
  <si>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</si>
  <si>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</si>
  <si>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</si>
  <si>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</si>
  <si>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</si>
  <si>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</si>
  <si>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</si>
  <si>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</si>
  <si>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</si>
  <si>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</si>
  <si>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</si>
  <si>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</si>
  <si>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</si>
  <si>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</si>
  <si>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</si>
  <si>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</si>
  <si>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</si>
  <si>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</si>
  <si>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</si>
  <si>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</si>
  <si>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</si>
  <si>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</si>
  <si>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</si>
  <si>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</si>
  <si>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</si>
  <si>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</si>
  <si>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</si>
  <si>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</si>
  <si>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</si>
  <si>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</si>
  <si>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</si>
  <si>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</si>
  <si>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</si>
  <si>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</si>
  <si>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</si>
  <si>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</si>
  <si>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</si>
  <si>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</si>
  <si>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</si>
  <si>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</si>
  <si>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</si>
  <si>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</si>
  <si>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</si>
  <si>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</si>
  <si>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</si>
  <si>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</si>
  <si>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</si>
  <si>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</si>
  <si>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</si>
  <si>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</si>
  <si>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</si>
  <si>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</si>
  <si>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</si>
  <si>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</si>
  <si>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</si>
  <si>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</si>
  <si>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</si>
  <si>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</si>
  <si>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</si>
  <si>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</si>
  <si>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</si>
  <si>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</si>
  <si>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</si>
  <si>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</si>
  <si>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</si>
  <si>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</si>
  <si>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</si>
  <si>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</si>
  <si>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</si>
  <si>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</si>
  <si>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</si>
  <si>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</si>
  <si>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</si>
  <si>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</si>
  <si>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</si>
  <si>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</si>
  <si>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</si>
  <si>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</si>
  <si>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</si>
  <si>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</si>
  <si>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</si>
  <si>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</si>
  <si>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</si>
  <si>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</si>
  <si>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</si>
  <si>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</si>
  <si>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</si>
  <si>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</si>
  <si>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</si>
  <si>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</si>
  <si>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</si>
  <si>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</si>
  <si>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</si>
  <si>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</si>
  <si>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</si>
  <si>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</si>
  <si>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</si>
  <si>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</si>
  <si>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</si>
  <si>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</si>
  <si>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</si>
  <si>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</si>
  <si>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</si>
  <si>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</si>
  <si>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</si>
  <si>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</si>
  <si>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</si>
  <si>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</si>
  <si>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</si>
  <si>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</si>
  <si>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</si>
  <si>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</si>
  <si>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</si>
  <si>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</si>
  <si>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</si>
  <si>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</si>
  <si>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</si>
  <si>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</si>
  <si>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</si>
  <si>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</si>
  <si>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</si>
  <si>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</si>
  <si>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</si>
  <si>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</si>
  <si>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</si>
  <si>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</si>
  <si>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</si>
  <si>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</si>
  <si>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</si>
  <si>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</si>
  <si>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</si>
  <si>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</si>
  <si>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</si>
  <si>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</si>
  <si>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</si>
  <si>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</si>
  <si>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</si>
  <si>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</si>
  <si>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</si>
  <si>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</si>
  <si>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</si>
  <si>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</si>
  <si>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</si>
  <si>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</si>
  <si>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</si>
  <si>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</si>
  <si>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</si>
  <si>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</si>
  <si>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</si>
  <si>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</si>
  <si>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</si>
  <si>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</si>
  <si>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</si>
  <si>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</si>
  <si>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</si>
  <si>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</si>
  <si>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</si>
  <si>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</si>
  <si>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</si>
  <si>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</si>
  <si>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</si>
  <si>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</si>
  <si>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</si>
  <si>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</si>
  <si>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</si>
  <si>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</si>
  <si>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</si>
  <si>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</si>
  <si>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</si>
  <si>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</si>
  <si>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</si>
  <si>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</si>
  <si>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</si>
  <si>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</si>
  <si>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</si>
  <si>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</si>
  <si>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</si>
  <si>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</si>
  <si>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</si>
  <si>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</si>
  <si>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Vendor_Name</t>
  </si>
  <si>
    <t>Vendor_Category</t>
  </si>
  <si>
    <t>Payment_Terms_Days</t>
  </si>
  <si>
    <t>Preferred_Payment_Method</t>
  </si>
  <si>
    <t>Vendor_Contact_Email</t>
  </si>
  <si>
    <t>Vendor_Status</t>
  </si>
  <si>
    <t>Apex Office Supplies</t>
  </si>
  <si>
    <t>Professional Services</t>
  </si>
  <si>
    <t>ap-01@example.com</t>
  </si>
  <si>
    <t>Active</t>
  </si>
  <si>
    <t>BluePeak Logistics</t>
  </si>
  <si>
    <t>Logistics</t>
  </si>
  <si>
    <t>ap-02@example.com</t>
  </si>
  <si>
    <t>Cedar IT Services</t>
  </si>
  <si>
    <t>ap-03@example.com</t>
  </si>
  <si>
    <t>Delta Packaging</t>
  </si>
  <si>
    <t>Equipment</t>
  </si>
  <si>
    <t>ap-04@example.com</t>
  </si>
  <si>
    <t>Evergreen Facilities</t>
  </si>
  <si>
    <t>Office Supplies</t>
  </si>
  <si>
    <t>ap-05@example.com</t>
  </si>
  <si>
    <t>Fineline Components</t>
  </si>
  <si>
    <t>ap-06@example.com</t>
  </si>
  <si>
    <t>Under Review</t>
  </si>
  <si>
    <t>Grove Industrial Tools</t>
  </si>
  <si>
    <t>ap-07@example.com</t>
  </si>
  <si>
    <t>Harbor Freight Services</t>
  </si>
  <si>
    <t>ap-08@example.com</t>
  </si>
  <si>
    <t>Indigo Marketing</t>
  </si>
  <si>
    <t>IT Services</t>
  </si>
  <si>
    <t>ap-09@example.com</t>
  </si>
  <si>
    <t>Juniper Maintenance</t>
  </si>
  <si>
    <t>ap-10@example.com</t>
  </si>
  <si>
    <t>Keystone Consulting</t>
  </si>
  <si>
    <t>ap-11@example.com</t>
  </si>
  <si>
    <t>Lumen Electronics</t>
  </si>
  <si>
    <t>ap-12@example.com</t>
  </si>
  <si>
    <t>Metro Safety Products</t>
  </si>
  <si>
    <t>Facilities</t>
  </si>
  <si>
    <t>ap-13@example.com</t>
  </si>
  <si>
    <t>Northstar Couriers</t>
  </si>
  <si>
    <t>ap-14@example.com</t>
  </si>
  <si>
    <t>Oakridge Equipment</t>
  </si>
  <si>
    <t>ap-15@example.com</t>
  </si>
  <si>
    <t>Pioneer Printing</t>
  </si>
  <si>
    <t>ap-16@example.com</t>
  </si>
  <si>
    <t>Quantum Telecom</t>
  </si>
  <si>
    <t>ap-17@example.com</t>
  </si>
  <si>
    <t>Redwood Software</t>
  </si>
  <si>
    <t>ap-18@example.com</t>
  </si>
  <si>
    <t>Summit Warehousing</t>
  </si>
  <si>
    <t>ap-19@example.com</t>
  </si>
  <si>
    <t>Vertex Utilities</t>
  </si>
  <si>
    <t>ap-20@example.com</t>
  </si>
  <si>
    <t>Request_ID</t>
  </si>
  <si>
    <t>Request_Date</t>
  </si>
  <si>
    <t>Request_Type</t>
  </si>
  <si>
    <t>Request_Status</t>
  </si>
  <si>
    <t>Resolution_Date</t>
  </si>
  <si>
    <t>Request_Notes</t>
  </si>
  <si>
    <t>MOD0001</t>
  </si>
  <si>
    <t>Amount Correction</t>
  </si>
  <si>
    <t>Missing or incorrect vendor details</t>
  </si>
  <si>
    <t>MOD0002</t>
  </si>
  <si>
    <t>PO Reference Correction</t>
  </si>
  <si>
    <t>Completed</t>
  </si>
  <si>
    <t>Due date clarification requested</t>
  </si>
  <si>
    <t>MOD0003</t>
  </si>
  <si>
    <t>Vendor Details Update</t>
  </si>
  <si>
    <t>Invoice amount does not match PO</t>
  </si>
  <si>
    <t>MOD0004</t>
  </si>
  <si>
    <t>Rejected</t>
  </si>
  <si>
    <t>Purchase order reference requires correction</t>
  </si>
  <si>
    <t>MOD0005</t>
  </si>
  <si>
    <t>Due Date Correction</t>
  </si>
  <si>
    <t>MOD0006</t>
  </si>
  <si>
    <t>MOD0007</t>
  </si>
  <si>
    <t>MOD0008</t>
  </si>
  <si>
    <t>Tax Details Correction</t>
  </si>
  <si>
    <t>MOD0009</t>
  </si>
  <si>
    <t>MOD0010</t>
  </si>
  <si>
    <t>Tax information requires review</t>
  </si>
  <si>
    <t>MOD0011</t>
  </si>
  <si>
    <t>MOD0012</t>
  </si>
  <si>
    <t>MOD0013</t>
  </si>
  <si>
    <t>MOD0014</t>
  </si>
  <si>
    <t>MOD0015</t>
  </si>
  <si>
    <t>MOD0016</t>
  </si>
  <si>
    <t>MOD0017</t>
  </si>
  <si>
    <t>Needs Vendor Response</t>
  </si>
  <si>
    <t>MOD0018</t>
  </si>
  <si>
    <t>MOD0019</t>
  </si>
  <si>
    <t>MOD0020</t>
  </si>
  <si>
    <t>MOD0021</t>
  </si>
  <si>
    <t>MOD0022</t>
  </si>
  <si>
    <t>MOD0023</t>
  </si>
  <si>
    <t>MOD0024</t>
  </si>
  <si>
    <t>MOD0025</t>
  </si>
  <si>
    <t>MOD0026</t>
  </si>
  <si>
    <t>MOD0027</t>
  </si>
  <si>
    <t>MOD0028</t>
  </si>
  <si>
    <t>MOD0029</t>
  </si>
  <si>
    <t>MOD0030</t>
  </si>
  <si>
    <t>MOD0031</t>
  </si>
  <si>
    <t>MOD0032</t>
  </si>
  <si>
    <t>MOD0033</t>
  </si>
  <si>
    <t>MOD0034</t>
  </si>
  <si>
    <t>MOD0035</t>
  </si>
  <si>
    <t>MOD0036</t>
  </si>
  <si>
    <t>MOD0037</t>
  </si>
  <si>
    <t>MOD0038</t>
  </si>
  <si>
    <t>MOD0039</t>
  </si>
  <si>
    <t>MOD0040</t>
  </si>
  <si>
    <t>MOD0041</t>
  </si>
  <si>
    <t>MOD0042</t>
  </si>
  <si>
    <t>MOD0043</t>
  </si>
  <si>
    <t>MOD0044</t>
  </si>
  <si>
    <t>MOD0045</t>
  </si>
  <si>
    <t>MOD0046</t>
  </si>
  <si>
    <t>MOD0047</t>
  </si>
  <si>
    <t>MOD0048</t>
  </si>
  <si>
    <t>MOD0049</t>
  </si>
  <si>
    <t>MOD0050</t>
  </si>
  <si>
    <t>MOD0051</t>
  </si>
  <si>
    <t>MOD0052</t>
  </si>
  <si>
    <t>MOD0053</t>
  </si>
  <si>
    <t>MOD0054</t>
  </si>
  <si>
    <t>MOD0055</t>
  </si>
  <si>
    <t>MOD0056</t>
  </si>
  <si>
    <t>MOD0057</t>
  </si>
  <si>
    <t>MOD0058</t>
  </si>
  <si>
    <t>MOD0059</t>
  </si>
  <si>
    <t>MOD0060</t>
  </si>
  <si>
    <t>MOD0061</t>
  </si>
  <si>
    <t>MOD0062</t>
  </si>
  <si>
    <t>MOD0063</t>
  </si>
  <si>
    <t>MOD0064</t>
  </si>
  <si>
    <t>MOD0065</t>
  </si>
  <si>
    <t>MOD0066</t>
  </si>
  <si>
    <t>MOD0067</t>
  </si>
  <si>
    <t>MOD0068</t>
  </si>
  <si>
    <t>MOD0069</t>
  </si>
  <si>
    <t>MOD0070</t>
  </si>
  <si>
    <t>Sheet</t>
  </si>
  <si>
    <t>Field</t>
  </si>
  <si>
    <t>Description</t>
  </si>
  <si>
    <t>Invoices_Raw</t>
  </si>
  <si>
    <t>Identifier for an invoice submission; duplicate submissions may share Vendor_ID + Invoice_Number.</t>
  </si>
  <si>
    <t>Vendor key linking to Vendor_Master.</t>
  </si>
  <si>
    <t>Supplier invoice number; combine with Vendor_ID to detect duplicates.</t>
  </si>
  <si>
    <t>Expected invoice amount in INR.</t>
  </si>
  <si>
    <t>Payment due date.</t>
  </si>
  <si>
    <t>Payments_Raw</t>
  </si>
  <si>
    <t>Invoice linked to a payment attempt.</t>
  </si>
  <si>
    <t>Successful, Failed, or Pending.</t>
  </si>
  <si>
    <t>Successful payment amount; failed/pending rows contain zero.</t>
  </si>
  <si>
    <t>Recorded reason for failed or pending payment.</t>
  </si>
  <si>
    <t>Modification_Requests</t>
  </si>
  <si>
    <t>Completed, Pending, Rejected, or Needs Vendor Response.</t>
  </si>
  <si>
    <t>Vendor_Master</t>
  </si>
  <si>
    <t>Payment terms used to calculate due dates.</t>
  </si>
  <si>
    <t>Project</t>
  </si>
  <si>
    <t>As-of date</t>
  </si>
  <si>
    <t>Use 14-Oct-2026 for overdue calculations.</t>
  </si>
  <si>
    <t>Column1</t>
  </si>
  <si>
    <t>Duplicate Flag</t>
  </si>
  <si>
    <t>Payment Status</t>
  </si>
  <si>
    <t>Total Paid</t>
  </si>
  <si>
    <t>Amount Difference</t>
  </si>
  <si>
    <t>Exception Type</t>
  </si>
  <si>
    <t>Overdue Status</t>
  </si>
  <si>
    <t>Row Labels</t>
  </si>
  <si>
    <t>Amount Mismatch</t>
  </si>
  <si>
    <t>Duplicate Invoice</t>
  </si>
  <si>
    <t>Failed Payment</t>
  </si>
  <si>
    <t>No Exception</t>
  </si>
  <si>
    <t>Pending Payment</t>
  </si>
  <si>
    <t>Unpaid Invoice</t>
  </si>
  <si>
    <t>Grand Total</t>
  </si>
  <si>
    <t>Count of Invoice_ID</t>
  </si>
  <si>
    <t>Paid</t>
  </si>
  <si>
    <t>Partial Payment</t>
  </si>
  <si>
    <t>Unpaid</t>
  </si>
  <si>
    <t>Sum of Amount Difference</t>
  </si>
  <si>
    <t>Overdue</t>
  </si>
  <si>
    <t>Column Labels</t>
  </si>
  <si>
    <r>
      <t xml:space="preserve">ACCOUNTS PAYABLE ANALYTICS
</t>
    </r>
    <r>
      <rPr>
        <b/>
        <sz val="14"/>
        <color theme="0"/>
        <rFont val="Calibri"/>
        <family val="2"/>
        <scheme val="minor"/>
      </rPr>
      <t>Invoice Exceptions • Payment Performance • Overdue Risk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</si>
</sst>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73" formatCode="&quot;₹&quot;\ #,##0"/>
    <numFmt numFmtId="17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7"/>
      </top>
      <bottom/>
      <diagonal/>
    </border>
    <border>
      <left/>
      <right style="thin">
        <color theme="7"/>
      </right>
      <top/>
      <bottom/>
      <diagonal/>
    </border>
    <border>
      <left style="thin">
        <color auto="1"/>
      </left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vertical="center" wrapText="1"/>
    </xf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/>
    <xf numFmtId="0" fontId="0" fillId="0" borderId="7" xfId="0" applyFont="1" applyBorder="1"/>
    <xf numFmtId="0" fontId="0" fillId="0" borderId="3" xfId="0" applyFont="1" applyBorder="1"/>
    <xf numFmtId="164" fontId="0" fillId="0" borderId="3" xfId="0" applyNumberFormat="1" applyFont="1" applyBorder="1"/>
    <xf numFmtId="0" fontId="0" fillId="0" borderId="9" xfId="0" applyFont="1" applyBorder="1"/>
    <xf numFmtId="164" fontId="0" fillId="0" borderId="4" xfId="0" applyNumberFormat="1" applyFont="1" applyBorder="1"/>
    <xf numFmtId="0" fontId="0" fillId="0" borderId="11" xfId="0" applyFont="1" applyBorder="1"/>
    <xf numFmtId="164" fontId="0" fillId="0" borderId="6" xfId="0" applyNumberFormat="1" applyFont="1" applyBorder="1"/>
    <xf numFmtId="0" fontId="3" fillId="2" borderId="8" xfId="0" applyFont="1" applyFill="1" applyBorder="1" applyAlignment="1">
      <alignment vertical="center"/>
    </xf>
    <xf numFmtId="0" fontId="0" fillId="0" borderId="8" xfId="0" applyFont="1" applyBorder="1" applyAlignment="1"/>
    <xf numFmtId="0" fontId="0" fillId="0" borderId="0" xfId="0" applyFont="1" applyBorder="1" applyAlignment="1"/>
    <xf numFmtId="0" fontId="0" fillId="0" borderId="10" xfId="0" applyFont="1" applyBorder="1" applyAlignment="1"/>
    <xf numFmtId="1" fontId="0" fillId="0" borderId="4" xfId="0" applyNumberFormat="1" applyFont="1" applyBorder="1"/>
    <xf numFmtId="0" fontId="0" fillId="0" borderId="0" xfId="0" applyFont="1" applyAlignment="1"/>
    <xf numFmtId="0" fontId="0" fillId="0" borderId="0" xfId="0" pivotButton="1"/>
    <xf numFmtId="0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0" fillId="0" borderId="0" xfId="0" applyBorder="1"/>
    <xf numFmtId="173" fontId="0" fillId="0" borderId="0" xfId="0" applyNumberFormat="1"/>
    <xf numFmtId="174" fontId="0" fillId="0" borderId="0" xfId="1" applyNumberFormat="1" applyFont="1" applyBorder="1"/>
  </cellXfs>
  <cellStyles count="2">
    <cellStyle name="Normal" xfId="0" builtinId="0"/>
    <cellStyle name="Percent" xfId="1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theme="7"/>
        </top>
        <bottom/>
        <vertical/>
        <horizontal/>
      </border>
    </dxf>
    <dxf>
      <numFmt numFmtId="173" formatCode="&quot;₹&quot;\ #,##0"/>
    </dxf>
    <dxf>
      <numFmt numFmtId="173" formatCode="&quot;₹&quot;\ #,##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yyyy\-mm\-dd\ hh:mm:ss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7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[Accounts_Payable_Invoice_Exception_Analytics_Dataset.xlsx]PT_Payments!PivotTable2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Invoice Payment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PT_Payments!$B$3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PT_Payments!$A$4:$A$9</c:f>
              <c:strCache>
                <c:ptCount val="5"/>
                <c:pt idx="0">
                  <c:v>Failed</c:v>
                </c:pt>
                <c:pt idx="1">
                  <c:v>Paid</c:v>
                </c:pt>
                <c:pt idx="2">
                  <c:v>Partial Payment</c:v>
                </c:pt>
                <c:pt idx="3">
                  <c:v>Pending</c:v>
                </c:pt>
                <c:pt idx="4">
                  <c:v>Unpaid</c:v>
                </c:pt>
              </c:strCache>
            </c:strRef>
          </c:cat>
          <c:val>
            <c:numRef>
              <c:f>PT_Payments!$B$4:$B$9</c:f>
              <c:numCache>
                <c:formatCode>General</c:formatCode>
                <c:ptCount val="5"/>
                <c:pt idx="0">
                  <c:v>40</c:v>
                </c:pt>
                <c:pt idx="1">
                  <c:v>322</c:v>
                </c:pt>
                <c:pt idx="2">
                  <c:v>13</c:v>
                </c:pt>
                <c:pt idx="3">
                  <c:v>45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B-4543-901E-FC1F8391E9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229408"/>
        <c:axId val="785230368"/>
      </c:barChart>
      <c:catAx>
        <c:axId val="7852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368"/>
        <c:crosses val="autoZero"/>
        <c:auto val="1"/>
        <c:lblAlgn val="ctr"/>
        <c:lblOffset val="100"/>
        <c:noMultiLvlLbl val="0"/>
      </c:catAx>
      <c:valAx>
        <c:axId val="78523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[Accounts_Payable_Invoice_Exception_Analytics_Dataset.xlsx]PT_Exceptions!PivotTable1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Invoice Exception Breakdown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PT_Exceptions!$B$3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PT_Exceptions!$A$4:$A$10</c:f>
              <c:strCache>
                <c:ptCount val="6"/>
                <c:pt idx="0">
                  <c:v>Amount Mismatch</c:v>
                </c:pt>
                <c:pt idx="1">
                  <c:v>Duplicate Invoice</c:v>
                </c:pt>
                <c:pt idx="2">
                  <c:v>Failed Payment</c:v>
                </c:pt>
                <c:pt idx="3">
                  <c:v>No Exception</c:v>
                </c:pt>
                <c:pt idx="4">
                  <c:v>Pending Payment</c:v>
                </c:pt>
                <c:pt idx="5">
                  <c:v>Unpaid Invoice</c:v>
                </c:pt>
              </c:strCache>
            </c:strRef>
          </c:cat>
          <c:val>
            <c:numRef>
              <c:f>PT_Exceptions!$B$4:$B$10</c:f>
              <c:numCache>
                <c:formatCode>General</c:formatCode>
                <c:ptCount val="6"/>
                <c:pt idx="0">
                  <c:v>11</c:v>
                </c:pt>
                <c:pt idx="1">
                  <c:v>48</c:v>
                </c:pt>
                <c:pt idx="2">
                  <c:v>37</c:v>
                </c:pt>
                <c:pt idx="3">
                  <c:v>293</c:v>
                </c:pt>
                <c:pt idx="4">
                  <c:v>37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C-4266-A688-68A6FBE2F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5190960"/>
        <c:axId val="925191440"/>
      </c:barChart>
      <c:catAx>
        <c:axId val="92519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1440"/>
        <c:crosses val="autoZero"/>
        <c:auto val="1"/>
        <c:lblAlgn val="ctr"/>
        <c:lblOffset val="100"/>
        <c:noMultiLvlLbl val="0"/>
      </c:catAx>
      <c:valAx>
        <c:axId val="92519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[Accounts_Payable_Invoice_Exception_Analytics_Dataset.xlsx]PT_Overdue!PivotTable3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Overdue Balance by Vendor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PT_Overdue!$B$3:$B$4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PT_Overdue!$A$5:$A$15</c:f>
              <c:strCache>
                <c:ptCount val="10"/>
                <c:pt idx="0">
                  <c:v>V003</c:v>
                </c:pt>
                <c:pt idx="1">
                  <c:v>V019</c:v>
                </c:pt>
                <c:pt idx="2">
                  <c:v>V012</c:v>
                </c:pt>
                <c:pt idx="3">
                  <c:v>V013</c:v>
                </c:pt>
                <c:pt idx="4">
                  <c:v>V004</c:v>
                </c:pt>
                <c:pt idx="5">
                  <c:v>V001</c:v>
                </c:pt>
                <c:pt idx="6">
                  <c:v>V010</c:v>
                </c:pt>
                <c:pt idx="7">
                  <c:v>V015</c:v>
                </c:pt>
                <c:pt idx="8">
                  <c:v>V005</c:v>
                </c:pt>
                <c:pt idx="9">
                  <c:v>V014</c:v>
                </c:pt>
              </c:strCache>
            </c:strRef>
          </c:cat>
          <c:val>
            <c:numRef>
              <c:f>PT_Overdue!$B$5:$B$15</c:f>
              <c:numCache>
                <c:formatCode>"₹"\ #,##0</c:formatCode>
                <c:ptCount val="10"/>
                <c:pt idx="0">
                  <c:v>132412.44999999998</c:v>
                </c:pt>
                <c:pt idx="1">
                  <c:v>135602.42000000001</c:v>
                </c:pt>
                <c:pt idx="2">
                  <c:v>136603.19</c:v>
                </c:pt>
                <c:pt idx="3">
                  <c:v>137648.68</c:v>
                </c:pt>
                <c:pt idx="4">
                  <c:v>138593.79</c:v>
                </c:pt>
                <c:pt idx="5">
                  <c:v>142389.77999999997</c:v>
                </c:pt>
                <c:pt idx="6">
                  <c:v>148754.41999999998</c:v>
                </c:pt>
                <c:pt idx="7">
                  <c:v>172592.45000000004</c:v>
                </c:pt>
                <c:pt idx="8">
                  <c:v>184860.98000000004</c:v>
                </c:pt>
                <c:pt idx="9">
                  <c:v>200808.61999999997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01F-9CE3-6C0E78D2B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8821328"/>
        <c:axId val="1103782800"/>
      </c:barChart>
      <c:catAx>
        <c:axId val="112882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82800"/>
        <c:crosses val="autoZero"/>
        <c:auto val="1"/>
        <c:lblAlgn val="ctr"/>
        <c:lblOffset val="100"/>
        <c:noMultiLvlLbl val="0"/>
      </c:catAx>
      <c:valAx>
        <c:axId val="1103782800"/>
        <c:scaling>
          <c:orientation val="minMax"/>
        </c:scaling>
        <c:delete val="0"/>
        <c:axPos val="b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[Accounts_Payable_Invoice_Exception_Analytics_Dataset.xlsx]PT_Exceptions!PivotTable1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PT_Exceptions!$B$3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PT_Exceptions!$A$4:$A$10</c:f>
              <c:strCache>
                <c:ptCount val="6"/>
                <c:pt idx="0">
                  <c:v>Amount Mismatch</c:v>
                </c:pt>
                <c:pt idx="1">
                  <c:v>Duplicate Invoice</c:v>
                </c:pt>
                <c:pt idx="2">
                  <c:v>Failed Payment</c:v>
                </c:pt>
                <c:pt idx="3">
                  <c:v>No Exception</c:v>
                </c:pt>
                <c:pt idx="4">
                  <c:v>Pending Payment</c:v>
                </c:pt>
                <c:pt idx="5">
                  <c:v>Unpaid Invoice</c:v>
                </c:pt>
              </c:strCache>
            </c:strRef>
          </c:cat>
          <c:val>
            <c:numRef>
              <c:f>PT_Exceptions!$B$4:$B$10</c:f>
              <c:numCache>
                <c:formatCode>General</c:formatCode>
                <c:ptCount val="6"/>
                <c:pt idx="0">
                  <c:v>11</c:v>
                </c:pt>
                <c:pt idx="1">
                  <c:v>48</c:v>
                </c:pt>
                <c:pt idx="2">
                  <c:v>37</c:v>
                </c:pt>
                <c:pt idx="3">
                  <c:v>293</c:v>
                </c:pt>
                <c:pt idx="4">
                  <c:v>37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4-422F-B782-5A8D4BC79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190960"/>
        <c:axId val="925191440"/>
      </c:barChart>
      <c:catAx>
        <c:axId val="92519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1440"/>
        <c:crosses val="autoZero"/>
        <c:auto val="1"/>
        <c:lblAlgn val="ctr"/>
        <c:lblOffset val="100"/>
        <c:noMultiLvlLbl val="0"/>
      </c:catAx>
      <c:valAx>
        <c:axId val="92519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[Accounts_Payable_Invoice_Exception_Analytics_Dataset.xlsx]PT_Payments!PivotTable2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PT_Payments!$B$3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PT_Payments!$A$4:$A$9</c:f>
              <c:strCache>
                <c:ptCount val="5"/>
                <c:pt idx="0">
                  <c:v>Failed</c:v>
                </c:pt>
                <c:pt idx="1">
                  <c:v>Paid</c:v>
                </c:pt>
                <c:pt idx="2">
                  <c:v>Partial Payment</c:v>
                </c:pt>
                <c:pt idx="3">
                  <c:v>Pending</c:v>
                </c:pt>
                <c:pt idx="4">
                  <c:v>Unpaid</c:v>
                </c:pt>
              </c:strCache>
            </c:strRef>
          </c:cat>
          <c:val>
            <c:numRef>
              <c:f>PT_Payments!$B$4:$B$9</c:f>
              <c:numCache>
                <c:formatCode>General</c:formatCode>
                <c:ptCount val="5"/>
                <c:pt idx="0">
                  <c:v>40</c:v>
                </c:pt>
                <c:pt idx="1">
                  <c:v>322</c:v>
                </c:pt>
                <c:pt idx="2">
                  <c:v>13</c:v>
                </c:pt>
                <c:pt idx="3">
                  <c:v>45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93D-A9FF-DE3CA4A3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229408"/>
        <c:axId val="785230368"/>
      </c:barChart>
      <c:catAx>
        <c:axId val="7852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368"/>
        <c:crosses val="autoZero"/>
        <c:auto val="1"/>
        <c:lblAlgn val="ctr"/>
        <c:lblOffset val="100"/>
        <c:noMultiLvlLbl val="0"/>
      </c:catAx>
      <c:valAx>
        <c:axId val="7852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[Accounts_Payable_Invoice_Exception_Analytics_Dataset.xlsx]PT_Overdue!PivotTable3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PT_Overdue!$B$3:$B$4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PT_Overdue!$A$5:$A$15</c:f>
              <c:strCache>
                <c:ptCount val="10"/>
                <c:pt idx="0">
                  <c:v>V003</c:v>
                </c:pt>
                <c:pt idx="1">
                  <c:v>V019</c:v>
                </c:pt>
                <c:pt idx="2">
                  <c:v>V012</c:v>
                </c:pt>
                <c:pt idx="3">
                  <c:v>V013</c:v>
                </c:pt>
                <c:pt idx="4">
                  <c:v>V004</c:v>
                </c:pt>
                <c:pt idx="5">
                  <c:v>V001</c:v>
                </c:pt>
                <c:pt idx="6">
                  <c:v>V010</c:v>
                </c:pt>
                <c:pt idx="7">
                  <c:v>V015</c:v>
                </c:pt>
                <c:pt idx="8">
                  <c:v>V005</c:v>
                </c:pt>
                <c:pt idx="9">
                  <c:v>V014</c:v>
                </c:pt>
              </c:strCache>
            </c:strRef>
          </c:cat>
          <c:val>
            <c:numRef>
              <c:f>PT_Overdue!$B$5:$B$15</c:f>
              <c:numCache>
                <c:formatCode>"₹"\ #,##0</c:formatCode>
                <c:ptCount val="10"/>
                <c:pt idx="0">
                  <c:v>132412.44999999998</c:v>
                </c:pt>
                <c:pt idx="1">
                  <c:v>135602.42000000001</c:v>
                </c:pt>
                <c:pt idx="2">
                  <c:v>136603.19</c:v>
                </c:pt>
                <c:pt idx="3">
                  <c:v>137648.68</c:v>
                </c:pt>
                <c:pt idx="4">
                  <c:v>138593.79</c:v>
                </c:pt>
                <c:pt idx="5">
                  <c:v>142389.77999999997</c:v>
                </c:pt>
                <c:pt idx="6">
                  <c:v>148754.41999999998</c:v>
                </c:pt>
                <c:pt idx="7">
                  <c:v>172592.45000000004</c:v>
                </c:pt>
                <c:pt idx="8">
                  <c:v>184860.98000000004</c:v>
                </c:pt>
                <c:pt idx="9">
                  <c:v>200808.61999999997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A-46E6-A82C-765CAE1E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8821328"/>
        <c:axId val="1103782800"/>
      </c:barChart>
      <c:catAx>
        <c:axId val="112882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82800"/>
        <c:crosses val="autoZero"/>
        <c:auto val="1"/>
        <c:lblAlgn val="ctr"/>
        <c:lblOffset val="100"/>
        <c:noMultiLvlLbl val="0"/>
      </c:catAx>
      <c:valAx>
        <c:axId val="1103782800"/>
        <c:scaling>
          <c:orientation val="minMax"/>
        </c:scaling>
        <c:delete val="0"/>
        <c:axPos val="b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4</xdr:row>
      <xdr:rowOff>57150</xdr:rowOff>
    </xdr:from>
    <xdr:to>
      <xdr:col>3</xdr:col>
      <xdr:colOff>466725</xdr:colOff>
      <xdr:row>9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B986619-FE22-1459-C6F9-C4998B95BA21}"/>
            </a:ext>
          </a:extLst>
        </xdr:cNvPr>
        <xdr:cNvSpPr/>
      </xdr:nvSpPr>
      <xdr:spPr>
        <a:xfrm>
          <a:off x="361951" y="819150"/>
          <a:ext cx="1933574" cy="1057275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161925</xdr:colOff>
      <xdr:row>4</xdr:row>
      <xdr:rowOff>161926</xdr:rowOff>
    </xdr:from>
    <xdr:to>
      <xdr:col>3</xdr:col>
      <xdr:colOff>240455</xdr:colOff>
      <xdr:row>6</xdr:row>
      <xdr:rowOff>8534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14740305-1160-A21F-E4CD-AD06CEFEA6D9}"/>
            </a:ext>
          </a:extLst>
        </xdr:cNvPr>
        <xdr:cNvSpPr txBox="1">
          <a:spLocks noChangeArrowheads="1"/>
        </xdr:cNvSpPr>
      </xdr:nvSpPr>
      <xdr:spPr bwMode="auto">
        <a:xfrm>
          <a:off x="771525" y="923926"/>
          <a:ext cx="1297730" cy="22760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cs typeface="Calibri"/>
            </a:rPr>
            <a:t>Total Invoices</a:t>
          </a:r>
        </a:p>
      </xdr:txBody>
    </xdr:sp>
    <xdr:clientData/>
  </xdr:twoCellAnchor>
  <xdr:oneCellAnchor>
    <xdr:from>
      <xdr:col>6</xdr:col>
      <xdr:colOff>209550</xdr:colOff>
      <xdr:row>10</xdr:row>
      <xdr:rowOff>142875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E7298C-3F98-B68D-D5ED-8FBC36557491}"/>
            </a:ext>
          </a:extLst>
        </xdr:cNvPr>
        <xdr:cNvSpPr txBox="1"/>
      </xdr:nvSpPr>
      <xdr:spPr>
        <a:xfrm>
          <a:off x="3867150" y="204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114300</xdr:colOff>
      <xdr:row>11</xdr:row>
      <xdr:rowOff>152400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6337AD-6E57-030D-A829-D2DA5EEFF10F}"/>
            </a:ext>
          </a:extLst>
        </xdr:cNvPr>
        <xdr:cNvSpPr txBox="1"/>
      </xdr:nvSpPr>
      <xdr:spPr>
        <a:xfrm>
          <a:off x="37719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314325</xdr:colOff>
      <xdr:row>9</xdr:row>
      <xdr:rowOff>19050</xdr:rowOff>
    </xdr:from>
    <xdr:ext cx="742950" cy="264560"/>
    <xdr:sp macro="" textlink="J9">
      <xdr:nvSpPr>
        <xdr:cNvPr id="8" name="TextBox 7">
          <a:extLst>
            <a:ext uri="{FF2B5EF4-FFF2-40B4-BE49-F238E27FC236}">
              <a16:creationId xmlns:a16="http://schemas.microsoft.com/office/drawing/2014/main" id="{3C6AA158-208C-52C4-37E4-E97C6107DCD1}"/>
            </a:ext>
          </a:extLst>
        </xdr:cNvPr>
        <xdr:cNvSpPr txBox="1"/>
      </xdr:nvSpPr>
      <xdr:spPr>
        <a:xfrm>
          <a:off x="1533525" y="1733550"/>
          <a:ext cx="742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FB454A6-5DB6-4A33-92F5-EED8B4EEB34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</a:t>
          </a:fld>
          <a:endParaRPr lang="en-IN" sz="1100"/>
        </a:p>
      </xdr:txBody>
    </xdr:sp>
    <xdr:clientData/>
  </xdr:oneCellAnchor>
  <xdr:oneCellAnchor>
    <xdr:from>
      <xdr:col>1</xdr:col>
      <xdr:colOff>381001</xdr:colOff>
      <xdr:row>6</xdr:row>
      <xdr:rowOff>152400</xdr:rowOff>
    </xdr:from>
    <xdr:ext cx="773646" cy="405432"/>
    <xdr:sp macro="" textlink="Invoice_Analysis!S496">
      <xdr:nvSpPr>
        <xdr:cNvPr id="9" name="TextBox 8">
          <a:extLst>
            <a:ext uri="{FF2B5EF4-FFF2-40B4-BE49-F238E27FC236}">
              <a16:creationId xmlns:a16="http://schemas.microsoft.com/office/drawing/2014/main" id="{F717598F-7C4E-F188-E9D6-BD6C4F1933DF}"/>
            </a:ext>
          </a:extLst>
        </xdr:cNvPr>
        <xdr:cNvSpPr txBox="1"/>
      </xdr:nvSpPr>
      <xdr:spPr>
        <a:xfrm>
          <a:off x="990601" y="1295400"/>
          <a:ext cx="77364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C339F62-5664-430C-B75B-A180D74B32C5}" type="TxLink">
            <a:rPr lang="en-US" sz="2000" b="1" i="0" u="none" strike="noStrike">
              <a:solidFill>
                <a:srgbClr val="002060"/>
              </a:solidFill>
              <a:latin typeface="Calibri"/>
              <a:cs typeface="Calibri"/>
            </a:rPr>
            <a:t>524</a:t>
          </a:fld>
          <a:endParaRPr lang="en-IN" sz="2000" b="1">
            <a:solidFill>
              <a:srgbClr val="002060"/>
            </a:solidFill>
          </a:endParaRPr>
        </a:p>
      </xdr:txBody>
    </xdr:sp>
    <xdr:clientData/>
  </xdr:oneCellAnchor>
  <xdr:twoCellAnchor>
    <xdr:from>
      <xdr:col>5</xdr:col>
      <xdr:colOff>1</xdr:colOff>
      <xdr:row>4</xdr:row>
      <xdr:rowOff>66675</xdr:rowOff>
    </xdr:from>
    <xdr:to>
      <xdr:col>8</xdr:col>
      <xdr:colOff>219074</xdr:colOff>
      <xdr:row>9</xdr:row>
      <xdr:rowOff>180975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953C07E-9D2A-4525-9203-B8C4E12D7247}"/>
            </a:ext>
          </a:extLst>
        </xdr:cNvPr>
        <xdr:cNvSpPr/>
      </xdr:nvSpPr>
      <xdr:spPr>
        <a:xfrm>
          <a:off x="3048001" y="828675"/>
          <a:ext cx="2047873" cy="10668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314324</xdr:colOff>
      <xdr:row>5</xdr:row>
      <xdr:rowOff>9525</xdr:rowOff>
    </xdr:from>
    <xdr:to>
      <xdr:col>8</xdr:col>
      <xdr:colOff>85725</xdr:colOff>
      <xdr:row>6</xdr:row>
      <xdr:rowOff>104118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39C3D9C2-BFD8-47F3-A45A-76D70B2EEFFE}"/>
            </a:ext>
          </a:extLst>
        </xdr:cNvPr>
        <xdr:cNvSpPr txBox="1">
          <a:spLocks noChangeArrowheads="1"/>
        </xdr:cNvSpPr>
      </xdr:nvSpPr>
      <xdr:spPr bwMode="auto">
        <a:xfrm>
          <a:off x="3362324" y="962025"/>
          <a:ext cx="1600201" cy="2850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marL="0" indent="0" algn="ctr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Exception Invoices</a:t>
          </a:r>
        </a:p>
      </xdr:txBody>
    </xdr:sp>
    <xdr:clientData/>
  </xdr:twoCellAnchor>
  <xdr:oneCellAnchor>
    <xdr:from>
      <xdr:col>6</xdr:col>
      <xdr:colOff>133351</xdr:colOff>
      <xdr:row>6</xdr:row>
      <xdr:rowOff>133350</xdr:rowOff>
    </xdr:from>
    <xdr:ext cx="571500" cy="405432"/>
    <xdr:sp macro="" textlink="Invoice_Analysis!R5">
      <xdr:nvSpPr>
        <xdr:cNvPr id="12" name="TextBox 11">
          <a:extLst>
            <a:ext uri="{FF2B5EF4-FFF2-40B4-BE49-F238E27FC236}">
              <a16:creationId xmlns:a16="http://schemas.microsoft.com/office/drawing/2014/main" id="{D819AC7A-FBC1-9625-642A-3ADF9F9B7FC7}"/>
            </a:ext>
          </a:extLst>
        </xdr:cNvPr>
        <xdr:cNvSpPr txBox="1"/>
      </xdr:nvSpPr>
      <xdr:spPr>
        <a:xfrm>
          <a:off x="3790951" y="1276350"/>
          <a:ext cx="571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6A3F46E7-DE24-49AF-AAA3-9B6416B49F97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ctr"/>
            <a:t>48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10</xdr:col>
      <xdr:colOff>57152</xdr:colOff>
      <xdr:row>4</xdr:row>
      <xdr:rowOff>85725</xdr:rowOff>
    </xdr:from>
    <xdr:to>
      <xdr:col>13</xdr:col>
      <xdr:colOff>304800</xdr:colOff>
      <xdr:row>9</xdr:row>
      <xdr:rowOff>161925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46E58E-D20B-42E5-9476-512343981580}"/>
            </a:ext>
          </a:extLst>
        </xdr:cNvPr>
        <xdr:cNvSpPr/>
      </xdr:nvSpPr>
      <xdr:spPr>
        <a:xfrm>
          <a:off x="6153152" y="847725"/>
          <a:ext cx="2076448" cy="10287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323849</xdr:colOff>
      <xdr:row>5</xdr:row>
      <xdr:rowOff>19050</xdr:rowOff>
    </xdr:from>
    <xdr:to>
      <xdr:col>12</xdr:col>
      <xdr:colOff>552450</xdr:colOff>
      <xdr:row>6</xdr:row>
      <xdr:rowOff>123825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30033C75-3DAA-491D-88AF-92EFE413B8DE}"/>
            </a:ext>
          </a:extLst>
        </xdr:cNvPr>
        <xdr:cNvSpPr txBox="1">
          <a:spLocks noChangeArrowheads="1"/>
        </xdr:cNvSpPr>
      </xdr:nvSpPr>
      <xdr:spPr bwMode="auto">
        <a:xfrm>
          <a:off x="6419849" y="971550"/>
          <a:ext cx="1447801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Overdue Invoices</a:t>
          </a:r>
        </a:p>
      </xdr:txBody>
    </xdr:sp>
    <xdr:clientData/>
  </xdr:twoCellAnchor>
  <xdr:twoCellAnchor>
    <xdr:from>
      <xdr:col>11</xdr:col>
      <xdr:colOff>123825</xdr:colOff>
      <xdr:row>24</xdr:row>
      <xdr:rowOff>38100</xdr:rowOff>
    </xdr:from>
    <xdr:to>
      <xdr:col>18</xdr:col>
      <xdr:colOff>581025</xdr:colOff>
      <xdr:row>36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CC0236-D344-46C1-8C27-DAF994DC1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161925</xdr:colOff>
      <xdr:row>6</xdr:row>
      <xdr:rowOff>114300</xdr:rowOff>
    </xdr:from>
    <xdr:ext cx="619125" cy="405432"/>
    <xdr:sp macro="" textlink="Invoice_Analysis!R4">
      <xdr:nvSpPr>
        <xdr:cNvPr id="15" name="TextBox 14">
          <a:extLst>
            <a:ext uri="{FF2B5EF4-FFF2-40B4-BE49-F238E27FC236}">
              <a16:creationId xmlns:a16="http://schemas.microsoft.com/office/drawing/2014/main" id="{99FD940D-2AC1-3E72-37DB-59A2F6ADE3B8}"/>
            </a:ext>
          </a:extLst>
        </xdr:cNvPr>
        <xdr:cNvSpPr txBox="1"/>
      </xdr:nvSpPr>
      <xdr:spPr>
        <a:xfrm>
          <a:off x="6867525" y="1257300"/>
          <a:ext cx="6191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E9C3D01-ACFC-4A00-9ED3-4F184E629138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ctr"/>
            <a:t>198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11</xdr:col>
      <xdr:colOff>142874</xdr:colOff>
      <xdr:row>11</xdr:row>
      <xdr:rowOff>123825</xdr:rowOff>
    </xdr:from>
    <xdr:to>
      <xdr:col>18</xdr:col>
      <xdr:colOff>581025</xdr:colOff>
      <xdr:row>23</xdr:row>
      <xdr:rowOff>66674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698C8A1-415C-4350-8DD9-A4207E0B8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304799</xdr:colOff>
      <xdr:row>11</xdr:row>
      <xdr:rowOff>114300</xdr:rowOff>
    </xdr:from>
    <xdr:to>
      <xdr:col>10</xdr:col>
      <xdr:colOff>457200</xdr:colOff>
      <xdr:row>36</xdr:row>
      <xdr:rowOff>133350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948CA5-961F-4993-84BA-D6608B3A3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104776</xdr:colOff>
      <xdr:row>4</xdr:row>
      <xdr:rowOff>47625</xdr:rowOff>
    </xdr:from>
    <xdr:to>
      <xdr:col>18</xdr:col>
      <xdr:colOff>380999</xdr:colOff>
      <xdr:row>9</xdr:row>
      <xdr:rowOff>161925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8A8869D-39B7-4D61-9166-C495A45D0FB0}"/>
            </a:ext>
          </a:extLst>
        </xdr:cNvPr>
        <xdr:cNvSpPr/>
      </xdr:nvSpPr>
      <xdr:spPr>
        <a:xfrm>
          <a:off x="9248776" y="809625"/>
          <a:ext cx="2105023" cy="10668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514349</xdr:colOff>
      <xdr:row>4</xdr:row>
      <xdr:rowOff>171450</xdr:rowOff>
    </xdr:from>
    <xdr:to>
      <xdr:col>18</xdr:col>
      <xdr:colOff>133350</xdr:colOff>
      <xdr:row>6</xdr:row>
      <xdr:rowOff>85725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686EF1BD-A430-45DB-AA40-EAA5A50E0BAD}"/>
            </a:ext>
          </a:extLst>
        </xdr:cNvPr>
        <xdr:cNvSpPr txBox="1">
          <a:spLocks noChangeArrowheads="1"/>
        </xdr:cNvSpPr>
      </xdr:nvSpPr>
      <xdr:spPr bwMode="auto">
        <a:xfrm>
          <a:off x="9658349" y="933450"/>
          <a:ext cx="1447801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Exception</a:t>
          </a:r>
          <a:r>
            <a:rPr lang="en-IN" sz="1600"/>
            <a:t> </a:t>
          </a: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Rate</a:t>
          </a:r>
        </a:p>
      </xdr:txBody>
    </xdr:sp>
    <xdr:clientData/>
  </xdr:twoCellAnchor>
  <xdr:oneCellAnchor>
    <xdr:from>
      <xdr:col>16</xdr:col>
      <xdr:colOff>209550</xdr:colOff>
      <xdr:row>6</xdr:row>
      <xdr:rowOff>85725</xdr:rowOff>
    </xdr:from>
    <xdr:ext cx="790575" cy="405432"/>
    <xdr:sp macro="" textlink="Invoice_Analysis!R3">
      <xdr:nvSpPr>
        <xdr:cNvPr id="22" name="TextBox 21">
          <a:extLst>
            <a:ext uri="{FF2B5EF4-FFF2-40B4-BE49-F238E27FC236}">
              <a16:creationId xmlns:a16="http://schemas.microsoft.com/office/drawing/2014/main" id="{F281C315-E570-48EB-ABB0-3AD9F2A3AD9D}"/>
            </a:ext>
          </a:extLst>
        </xdr:cNvPr>
        <xdr:cNvSpPr txBox="1"/>
      </xdr:nvSpPr>
      <xdr:spPr>
        <a:xfrm>
          <a:off x="9963150" y="1228725"/>
          <a:ext cx="79057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93D58E4-835D-4C4A-AC63-AA31DB618892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/>
            <a:t>9.2%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10</xdr:row>
      <xdr:rowOff>109537</xdr:rowOff>
    </xdr:from>
    <xdr:to>
      <xdr:col>13</xdr:col>
      <xdr:colOff>428625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2055D-C320-CB46-71BD-0428B450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10</xdr:row>
      <xdr:rowOff>109537</xdr:rowOff>
    </xdr:from>
    <xdr:to>
      <xdr:col>13</xdr:col>
      <xdr:colOff>581025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9890D-215C-F40C-48EC-BF5CDB78A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7</xdr:row>
      <xdr:rowOff>104775</xdr:rowOff>
    </xdr:from>
    <xdr:to>
      <xdr:col>15</xdr:col>
      <xdr:colOff>85725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F8792-9418-D38A-91B5-2BF242B96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ka" refreshedDate="46309.833782060188" createdVersion="8" refreshedVersion="8" minRefreshableVersion="3" recordCount="525" xr:uid="{08FB2ABD-0661-4785-B18A-CD767D4CD999}">
  <cacheSource type="worksheet">
    <worksheetSource name="tblInvoiceAnalysis"/>
  </cacheSource>
  <cacheFields count="17">
    <cacheField name="Invoice_ID" numFmtId="0">
      <sharedItems containsBlank="1"/>
    </cacheField>
    <cacheField name="Vendor_ID" numFmtId="0">
      <sharedItems containsBlank="1" count="21">
        <s v="V006"/>
        <s v="V008"/>
        <s v="V011"/>
        <s v="V018"/>
        <s v="V017"/>
        <s v="V013"/>
        <s v="V004"/>
        <s v="V009"/>
        <s v="V007"/>
        <s v="V012"/>
        <s v="V001"/>
        <s v="V016"/>
        <s v="V014"/>
        <s v="V002"/>
        <s v="V003"/>
        <s v="V015"/>
        <s v="V005"/>
        <s v="V020"/>
        <s v="V010"/>
        <s v="V019"/>
        <m/>
      </sharedItems>
    </cacheField>
    <cacheField name="Invoice_Number" numFmtId="0">
      <sharedItems containsBlank="1"/>
    </cacheField>
    <cacheField name="PO_Number" numFmtId="0">
      <sharedItems containsBlank="1"/>
    </cacheField>
    <cacheField name="Invoice_Date" numFmtId="0">
      <sharedItems containsNonDate="0" containsDate="1" containsString="0" containsBlank="1" minDate="2026-01-01T00:00:00" maxDate="2026-10-14T00:00:00"/>
    </cacheField>
    <cacheField name="Due_Date" numFmtId="0">
      <sharedItems containsNonDate="0" containsDate="1" containsString="0" containsBlank="1" minDate="2026-01-16T00:00:00" maxDate="2026-11-28T00:00:00"/>
    </cacheField>
    <cacheField name="Invoice_Amount" numFmtId="0">
      <sharedItems containsString="0" containsBlank="1" containsNumber="1" minValue="188.12" maxValue="59980.03"/>
    </cacheField>
    <cacheField name="Currency" numFmtId="0">
      <sharedItems containsBlank="1"/>
    </cacheField>
    <cacheField name="Invoice_Status" numFmtId="0">
      <sharedItems containsBlank="1"/>
    </cacheField>
    <cacheField name="Modification_Required" numFmtId="0">
      <sharedItems containsBlank="1"/>
    </cacheField>
    <cacheField name="Source_Channel" numFmtId="0">
      <sharedItems containsBlank="1"/>
    </cacheField>
    <cacheField name="Duplicate Flag" numFmtId="0">
      <sharedItems containsBlank="1"/>
    </cacheField>
    <cacheField name="Payment Status" numFmtId="0">
      <sharedItems containsBlank="1" count="6">
        <s v="Unpaid"/>
        <s v="Paid"/>
        <s v="Pending"/>
        <s v="Partial Payment"/>
        <s v="Failed"/>
        <m/>
      </sharedItems>
    </cacheField>
    <cacheField name="Total Paid" numFmtId="0">
      <sharedItems containsString="0" containsBlank="1" containsNumber="1" minValue="0" maxValue="59980.03"/>
    </cacheField>
    <cacheField name="Amount Difference" numFmtId="1">
      <sharedItems containsString="0" containsBlank="1" containsNumber="1" minValue="-3773.0299999999988" maxValue="58686.63"/>
    </cacheField>
    <cacheField name="Exception Type" numFmtId="0">
      <sharedItems containsBlank="1" count="7">
        <s v="Unpaid Invoice"/>
        <s v="No Exception"/>
        <s v="Pending Payment"/>
        <s v="Duplicate Invoice"/>
        <s v="Failed Payment"/>
        <s v="Amount Mismatch"/>
        <m/>
      </sharedItems>
    </cacheField>
    <cacheField name="Overdue Status" numFmtId="0">
      <sharedItems containsBlank="1" count="3">
        <s v="Overdue"/>
        <s v="Not Overdu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s v="IN00001"/>
    <x v="0"/>
    <s v="INV-V006-93886"/>
    <s v="PO-821590"/>
    <d v="2026-08-25T00:00:00"/>
    <d v="2026-09-09T00:00:00"/>
    <n v="9560.85"/>
    <s v="INR"/>
    <s v="Approved"/>
    <s v="No"/>
    <s v="Email"/>
    <s v="Unique"/>
    <x v="0"/>
    <n v="0"/>
    <n v="9560.85"/>
    <x v="0"/>
    <x v="0"/>
  </r>
  <r>
    <s v="IN00002"/>
    <x v="1"/>
    <s v="INV-V008-18675"/>
    <s v="PO-321231"/>
    <d v="2026-01-17T00:00:00"/>
    <d v="2026-02-01T00:00:00"/>
    <n v="20149.54"/>
    <s v="INR"/>
    <s v="On Hold"/>
    <s v="No"/>
    <s v="EDI"/>
    <s v="Unique"/>
    <x v="1"/>
    <n v="20149.54"/>
    <n v="0"/>
    <x v="1"/>
    <x v="1"/>
  </r>
  <r>
    <s v="IN00003"/>
    <x v="2"/>
    <s v="INV-V011-94259"/>
    <s v="PO-581141"/>
    <d v="2026-04-19T00:00:00"/>
    <d v="2026-05-19T00:00:00"/>
    <n v="16427.310000000001"/>
    <s v="INR"/>
    <s v="Received"/>
    <s v="Yes"/>
    <s v="EDI"/>
    <s v="Unique"/>
    <x v="0"/>
    <n v="0"/>
    <n v="16427.310000000001"/>
    <x v="0"/>
    <x v="0"/>
  </r>
  <r>
    <s v="IN00004"/>
    <x v="3"/>
    <s v="INV-V018-86484"/>
    <s v="PO-518801"/>
    <d v="2026-10-03T00:00:00"/>
    <d v="2026-11-02T00:00:00"/>
    <n v="6657.01"/>
    <s v="INR"/>
    <s v="Approved"/>
    <s v="No"/>
    <s v="Email"/>
    <s v="Unique"/>
    <x v="0"/>
    <n v="0"/>
    <n v="6657.01"/>
    <x v="0"/>
    <x v="0"/>
  </r>
  <r>
    <s v="IN00005"/>
    <x v="4"/>
    <s v="INV-V017-92240"/>
    <s v="PO-267753"/>
    <d v="2026-09-10T00:00:00"/>
    <d v="2026-10-10T00:00:00"/>
    <n v="28837.72"/>
    <s v="INR"/>
    <s v="Modified"/>
    <s v="No"/>
    <s v="Email"/>
    <s v="Unique"/>
    <x v="1"/>
    <n v="28837.72"/>
    <n v="0"/>
    <x v="1"/>
    <x v="1"/>
  </r>
  <r>
    <s v="IN00006"/>
    <x v="5"/>
    <s v="INV-V013-42953"/>
    <s v="PO-680099"/>
    <d v="2026-07-15T00:00:00"/>
    <d v="2026-07-30T00:00:00"/>
    <n v="14945.7"/>
    <s v="INR"/>
    <s v="On Hold"/>
    <s v="Yes"/>
    <s v="EDI"/>
    <s v="Unique"/>
    <x v="1"/>
    <n v="14945.7"/>
    <n v="0"/>
    <x v="1"/>
    <x v="1"/>
  </r>
  <r>
    <s v="IN00007"/>
    <x v="6"/>
    <s v="INV-V004-54587"/>
    <s v="PO-216970"/>
    <d v="2026-10-02T00:00:00"/>
    <d v="2026-11-01T00:00:00"/>
    <n v="18801.84"/>
    <s v="INR"/>
    <s v="Approved"/>
    <s v="No"/>
    <s v="Email"/>
    <s v="Unique"/>
    <x v="1"/>
    <n v="18801.84"/>
    <n v="0"/>
    <x v="1"/>
    <x v="1"/>
  </r>
  <r>
    <s v="IN00008"/>
    <x v="7"/>
    <s v="INV-V009-23947"/>
    <s v="PO-755674"/>
    <d v="2026-09-14T00:00:00"/>
    <d v="2026-10-14T00:00:00"/>
    <n v="19077.62"/>
    <s v="INR"/>
    <s v="Approved"/>
    <s v="No"/>
    <s v="EDI"/>
    <s v="Unique"/>
    <x v="1"/>
    <n v="19077.62"/>
    <n v="0"/>
    <x v="1"/>
    <x v="1"/>
  </r>
  <r>
    <s v="IN00009"/>
    <x v="8"/>
    <s v="INV-V007-79514"/>
    <s v="PO-100599"/>
    <d v="2026-03-20T00:00:00"/>
    <d v="2026-04-19T00:00:00"/>
    <n v="9422.98"/>
    <s v="INR"/>
    <s v="Approved"/>
    <s v="No"/>
    <s v="Email"/>
    <s v="Unique"/>
    <x v="0"/>
    <n v="0"/>
    <n v="9422.98"/>
    <x v="0"/>
    <x v="0"/>
  </r>
  <r>
    <s v="IN00010"/>
    <x v="9"/>
    <s v="INV-V012-84364"/>
    <s v="PO-182582"/>
    <d v="2026-06-07T00:00:00"/>
    <d v="2026-07-22T00:00:00"/>
    <n v="6077.57"/>
    <s v="INR"/>
    <s v="Received"/>
    <s v="No"/>
    <s v="Email"/>
    <s v="Unique"/>
    <x v="1"/>
    <n v="6077.57"/>
    <n v="0"/>
    <x v="1"/>
    <x v="1"/>
  </r>
  <r>
    <s v="IN00011"/>
    <x v="3"/>
    <s v="INV-V018-82063"/>
    <s v="PO-273148"/>
    <d v="2026-03-06T00:00:00"/>
    <d v="2026-04-05T00:00:00"/>
    <n v="3314.38"/>
    <s v="INR"/>
    <s v="Approved"/>
    <s v="No"/>
    <s v="Supplier Portal"/>
    <s v="Unique"/>
    <x v="2"/>
    <n v="0"/>
    <n v="3314.38"/>
    <x v="2"/>
    <x v="0"/>
  </r>
  <r>
    <s v="IN00012"/>
    <x v="8"/>
    <s v="INV-V007-50857"/>
    <s v="PO-518373"/>
    <d v="2026-10-04T00:00:00"/>
    <d v="2026-11-03T00:00:00"/>
    <n v="18911"/>
    <s v="INR"/>
    <s v="On Hold"/>
    <s v="No"/>
    <s v="Supplier Portal"/>
    <s v="Duplicate"/>
    <x v="3"/>
    <n v="17398.12"/>
    <n v="1512.880000000001"/>
    <x v="3"/>
    <x v="0"/>
  </r>
  <r>
    <s v="IN00013"/>
    <x v="4"/>
    <s v="INV-V017-54313"/>
    <s v="PO-122056"/>
    <d v="2026-08-20T00:00:00"/>
    <d v="2026-09-19T00:00:00"/>
    <n v="3130.58"/>
    <s v="INR"/>
    <s v="Approved"/>
    <s v="No"/>
    <s v="Email"/>
    <s v="Unique"/>
    <x v="1"/>
    <n v="3130.58"/>
    <n v="0"/>
    <x v="1"/>
    <x v="1"/>
  </r>
  <r>
    <s v="IN00014"/>
    <x v="10"/>
    <s v="INV-V001-14117"/>
    <s v="PO-446479"/>
    <d v="2026-02-06T00:00:00"/>
    <d v="2026-02-21T00:00:00"/>
    <n v="27359.01"/>
    <s v="INR"/>
    <s v="Received"/>
    <s v="No"/>
    <s v="EDI"/>
    <s v="Unique"/>
    <x v="1"/>
    <n v="27359.01"/>
    <n v="0"/>
    <x v="1"/>
    <x v="1"/>
  </r>
  <r>
    <s v="IN00015"/>
    <x v="11"/>
    <s v="INV-V016-84847"/>
    <s v="PO-704201"/>
    <d v="2026-04-20T00:00:00"/>
    <d v="2026-05-05T00:00:00"/>
    <n v="13536.14"/>
    <s v="INR"/>
    <s v="Approved"/>
    <s v="No"/>
    <s v="Supplier Portal"/>
    <s v="Unique"/>
    <x v="1"/>
    <n v="13536.14"/>
    <n v="0"/>
    <x v="1"/>
    <x v="1"/>
  </r>
  <r>
    <s v="IN00016"/>
    <x v="8"/>
    <s v="INV-V007-65519"/>
    <s v="PO-531071"/>
    <d v="2026-02-18T00:00:00"/>
    <d v="2026-03-20T00:00:00"/>
    <n v="2531.64"/>
    <s v="INR"/>
    <s v="Approved"/>
    <s v="No"/>
    <s v="EDI"/>
    <s v="Unique"/>
    <x v="1"/>
    <n v="2531.64"/>
    <n v="0"/>
    <x v="1"/>
    <x v="1"/>
  </r>
  <r>
    <s v="IN00017"/>
    <x v="6"/>
    <s v="INV-V004-24322"/>
    <s v="PO-360735"/>
    <d v="2026-02-01T00:00:00"/>
    <d v="2026-03-03T00:00:00"/>
    <n v="10137.219999999999"/>
    <s v="INR"/>
    <s v="Received"/>
    <s v="No"/>
    <s v="Email"/>
    <s v="Unique"/>
    <x v="1"/>
    <n v="10137.219999999999"/>
    <n v="0"/>
    <x v="1"/>
    <x v="1"/>
  </r>
  <r>
    <s v="IN00018"/>
    <x v="12"/>
    <s v="INV-V014-19880"/>
    <s v="PO-564656"/>
    <d v="2026-04-04T00:00:00"/>
    <d v="2026-05-19T00:00:00"/>
    <n v="7050.2"/>
    <s v="INR"/>
    <s v="Modified"/>
    <s v="No"/>
    <s v="Email"/>
    <s v="Unique"/>
    <x v="4"/>
    <n v="0"/>
    <n v="7050.2"/>
    <x v="4"/>
    <x v="0"/>
  </r>
  <r>
    <s v="IN00019"/>
    <x v="13"/>
    <s v="INV-V002-40982"/>
    <s v="PO-274389"/>
    <d v="2026-10-04T00:00:00"/>
    <d v="2026-10-19T00:00:00"/>
    <n v="20920.37"/>
    <s v="INR"/>
    <s v="Approved"/>
    <s v="No"/>
    <s v="Supplier Portal"/>
    <s v="Unique"/>
    <x v="1"/>
    <n v="21547.98"/>
    <n v="-627.61000000000058"/>
    <x v="1"/>
    <x v="1"/>
  </r>
  <r>
    <s v="IN00020"/>
    <x v="13"/>
    <s v="INV-V002-44760"/>
    <s v="PO-922157"/>
    <d v="2026-03-26T00:00:00"/>
    <d v="2026-04-10T00:00:00"/>
    <n v="9548.85"/>
    <s v="INR"/>
    <s v="Modified"/>
    <s v="No"/>
    <s v="EDI"/>
    <s v="Unique"/>
    <x v="0"/>
    <n v="0"/>
    <n v="9548.85"/>
    <x v="0"/>
    <x v="0"/>
  </r>
  <r>
    <s v="IN00021"/>
    <x v="3"/>
    <s v="INV-V018-17665"/>
    <s v="PO-707314"/>
    <d v="2026-09-07T00:00:00"/>
    <d v="2026-10-07T00:00:00"/>
    <n v="3971.35"/>
    <s v="INR"/>
    <s v="Modified"/>
    <s v="Yes"/>
    <s v="Supplier Portal"/>
    <s v="Unique"/>
    <x v="1"/>
    <n v="3971.35"/>
    <n v="0"/>
    <x v="1"/>
    <x v="1"/>
  </r>
  <r>
    <s v="IN00022"/>
    <x v="13"/>
    <s v="INV-V002-79615"/>
    <s v="PO-265080"/>
    <d v="2026-01-26T00:00:00"/>
    <d v="2026-02-10T00:00:00"/>
    <n v="14654.34"/>
    <s v="INR"/>
    <s v="Received"/>
    <s v="No"/>
    <s v="Email"/>
    <s v="Unique"/>
    <x v="1"/>
    <n v="14654.34"/>
    <n v="0"/>
    <x v="1"/>
    <x v="1"/>
  </r>
  <r>
    <s v="IN00023"/>
    <x v="14"/>
    <s v="INV-V003-25713"/>
    <s v="PO-697347"/>
    <d v="2026-02-04T00:00:00"/>
    <d v="2026-03-21T00:00:00"/>
    <n v="16919.29"/>
    <s v="INR"/>
    <s v="Approved"/>
    <s v="No"/>
    <s v="EDI"/>
    <s v="Duplicate"/>
    <x v="0"/>
    <n v="0"/>
    <n v="16919.29"/>
    <x v="3"/>
    <x v="0"/>
  </r>
  <r>
    <s v="IN00024"/>
    <x v="14"/>
    <s v="INV-V003-51467"/>
    <s v="PO-373432"/>
    <d v="2026-08-03T00:00:00"/>
    <d v="2026-09-17T00:00:00"/>
    <n v="16475.439999999999"/>
    <s v="INR"/>
    <s v="Approved"/>
    <s v="No"/>
    <s v="Email"/>
    <s v="Unique"/>
    <x v="4"/>
    <n v="0"/>
    <n v="16475.439999999999"/>
    <x v="4"/>
    <x v="0"/>
  </r>
  <r>
    <s v="IN00025"/>
    <x v="7"/>
    <s v="INV-V009-69929"/>
    <s v="PO-431535"/>
    <d v="2026-07-22T00:00:00"/>
    <d v="2026-08-21T00:00:00"/>
    <n v="3376.25"/>
    <s v="INR"/>
    <s v="On Hold"/>
    <s v="No"/>
    <s v="Email"/>
    <s v="Unique"/>
    <x v="1"/>
    <n v="3376.25"/>
    <n v="0"/>
    <x v="1"/>
    <x v="1"/>
  </r>
  <r>
    <s v="IN00026"/>
    <x v="15"/>
    <s v="INV-V015-44760"/>
    <s v="PO-238890"/>
    <d v="2026-02-21T00:00:00"/>
    <d v="2026-03-08T00:00:00"/>
    <n v="1942.73"/>
    <s v="INR"/>
    <s v="On Hold"/>
    <s v="No"/>
    <s v="Email"/>
    <s v="Unique"/>
    <x v="1"/>
    <n v="1942.73"/>
    <n v="0"/>
    <x v="1"/>
    <x v="1"/>
  </r>
  <r>
    <s v="IN00027"/>
    <x v="9"/>
    <s v="INV-V012-49651"/>
    <s v="PO-741390"/>
    <d v="2026-05-26T00:00:00"/>
    <d v="2026-07-10T00:00:00"/>
    <n v="4044.74"/>
    <s v="INR"/>
    <s v="On Hold"/>
    <s v="No"/>
    <s v="EDI"/>
    <s v="Unique"/>
    <x v="1"/>
    <n v="4044.74"/>
    <n v="0"/>
    <x v="1"/>
    <x v="1"/>
  </r>
  <r>
    <s v="IN00028"/>
    <x v="10"/>
    <s v="INV-V001-27601"/>
    <s v="PO-377312"/>
    <d v="2026-10-11T00:00:00"/>
    <d v="2026-10-26T00:00:00"/>
    <n v="7568.54"/>
    <s v="INR"/>
    <s v="Received"/>
    <s v="Yes"/>
    <s v="EDI"/>
    <s v="Unique"/>
    <x v="1"/>
    <n v="7568.54"/>
    <n v="0"/>
    <x v="1"/>
    <x v="1"/>
  </r>
  <r>
    <s v="IN00029"/>
    <x v="16"/>
    <s v="INV-V005-54942"/>
    <s v="PO-313487"/>
    <d v="2026-05-20T00:00:00"/>
    <d v="2026-06-04T00:00:00"/>
    <n v="7130.1"/>
    <s v="INR"/>
    <s v="Modified"/>
    <s v="No"/>
    <s v="EDI"/>
    <s v="Unique"/>
    <x v="1"/>
    <n v="7130.1"/>
    <n v="0"/>
    <x v="1"/>
    <x v="1"/>
  </r>
  <r>
    <s v="IN00030"/>
    <x v="11"/>
    <s v="INV-V016-22097"/>
    <s v="PO-765095"/>
    <d v="2026-05-09T00:00:00"/>
    <d v="2026-05-24T00:00:00"/>
    <n v="22644.77"/>
    <s v="INR"/>
    <s v="Approved"/>
    <s v="No"/>
    <s v="Email"/>
    <s v="Unique"/>
    <x v="1"/>
    <n v="22644.77"/>
    <n v="0"/>
    <x v="1"/>
    <x v="1"/>
  </r>
  <r>
    <s v="IN00031"/>
    <x v="2"/>
    <s v="INV-V011-67912"/>
    <s v="PO-678478"/>
    <d v="2026-03-08T00:00:00"/>
    <d v="2026-04-07T00:00:00"/>
    <n v="15971.38"/>
    <s v="INR"/>
    <s v="Modified"/>
    <s v="No"/>
    <s v="Email"/>
    <s v="Unique"/>
    <x v="1"/>
    <n v="15971.38"/>
    <n v="0"/>
    <x v="1"/>
    <x v="1"/>
  </r>
  <r>
    <s v="IN00032"/>
    <x v="14"/>
    <s v="INV-V003-86350"/>
    <s v="PO-679364"/>
    <d v="2026-03-18T00:00:00"/>
    <d v="2026-05-02T00:00:00"/>
    <n v="13694.29"/>
    <s v="INR"/>
    <s v="Received"/>
    <s v="Yes"/>
    <s v="Supplier Portal"/>
    <s v="Unique"/>
    <x v="1"/>
    <n v="13694.29"/>
    <n v="0"/>
    <x v="1"/>
    <x v="1"/>
  </r>
  <r>
    <s v="IN00033"/>
    <x v="9"/>
    <s v="INV-V012-42706"/>
    <s v="PO-799330"/>
    <d v="2026-01-21T00:00:00"/>
    <d v="2026-03-07T00:00:00"/>
    <n v="22485.24"/>
    <s v="INR"/>
    <s v="Received"/>
    <s v="No"/>
    <s v="Supplier Portal"/>
    <s v="Unique"/>
    <x v="1"/>
    <n v="22485.24"/>
    <n v="0"/>
    <x v="1"/>
    <x v="1"/>
  </r>
  <r>
    <s v="IN00034"/>
    <x v="17"/>
    <s v="INV-V020-31299"/>
    <s v="PO-938742"/>
    <d v="2026-03-21T00:00:00"/>
    <d v="2026-05-05T00:00:00"/>
    <n v="23153"/>
    <s v="INR"/>
    <s v="Modified"/>
    <s v="No"/>
    <s v="Email"/>
    <s v="Unique"/>
    <x v="1"/>
    <n v="23153"/>
    <n v="0"/>
    <x v="1"/>
    <x v="1"/>
  </r>
  <r>
    <s v="IN00035"/>
    <x v="0"/>
    <s v="INV-V006-97806"/>
    <s v="PO-870763"/>
    <d v="2026-06-20T00:00:00"/>
    <d v="2026-07-05T00:00:00"/>
    <n v="19585.78"/>
    <s v="INR"/>
    <s v="Modified"/>
    <s v="No"/>
    <s v="EDI"/>
    <s v="Unique"/>
    <x v="2"/>
    <n v="0"/>
    <n v="19585.78"/>
    <x v="2"/>
    <x v="0"/>
  </r>
  <r>
    <s v="IN00036"/>
    <x v="6"/>
    <s v="INV-V004-39154"/>
    <s v="PO-309267"/>
    <d v="2026-07-15T00:00:00"/>
    <d v="2026-08-14T00:00:00"/>
    <n v="21819.51"/>
    <s v="INR"/>
    <s v="Modified"/>
    <s v="No"/>
    <s v="Supplier Portal"/>
    <s v="Unique"/>
    <x v="4"/>
    <n v="0"/>
    <n v="21819.51"/>
    <x v="4"/>
    <x v="0"/>
  </r>
  <r>
    <s v="IN00037"/>
    <x v="1"/>
    <s v="INV-V008-53025"/>
    <s v="PO-392136"/>
    <d v="2026-04-25T00:00:00"/>
    <d v="2026-05-10T00:00:00"/>
    <n v="708.77"/>
    <s v="INR"/>
    <s v="On Hold"/>
    <s v="No"/>
    <s v="Supplier Portal"/>
    <s v="Unique"/>
    <x v="1"/>
    <n v="708.77"/>
    <n v="0"/>
    <x v="1"/>
    <x v="1"/>
  </r>
  <r>
    <s v="IN00038"/>
    <x v="9"/>
    <s v="INV-V012-80282"/>
    <s v="PO-447235"/>
    <d v="2026-09-18T00:00:00"/>
    <d v="2026-11-02T00:00:00"/>
    <n v="10064"/>
    <s v="INR"/>
    <s v="On Hold"/>
    <s v="Yes"/>
    <s v="Supplier Portal"/>
    <s v="Unique"/>
    <x v="4"/>
    <n v="0"/>
    <n v="10064"/>
    <x v="4"/>
    <x v="0"/>
  </r>
  <r>
    <s v="IN00039"/>
    <x v="0"/>
    <s v="INV-V006-55309"/>
    <s v="PO-863934"/>
    <d v="2026-05-16T00:00:00"/>
    <d v="2026-05-31T00:00:00"/>
    <n v="1071.8399999999999"/>
    <s v="INR"/>
    <s v="Modified"/>
    <s v="No"/>
    <s v="EDI"/>
    <s v="Unique"/>
    <x v="1"/>
    <n v="1071.8399999999999"/>
    <n v="0"/>
    <x v="1"/>
    <x v="1"/>
  </r>
  <r>
    <s v="IN00040"/>
    <x v="6"/>
    <s v="INV-V004-15817"/>
    <s v="PO-843215"/>
    <d v="2026-07-17T00:00:00"/>
    <d v="2026-08-16T00:00:00"/>
    <n v="22499.68"/>
    <s v="INR"/>
    <s v="Approved"/>
    <s v="No"/>
    <s v="EDI"/>
    <s v="Unique"/>
    <x v="1"/>
    <n v="22499.68"/>
    <n v="0"/>
    <x v="1"/>
    <x v="1"/>
  </r>
  <r>
    <s v="IN00041"/>
    <x v="8"/>
    <s v="INV-V007-53279"/>
    <s v="PO-753425"/>
    <d v="2026-07-06T00:00:00"/>
    <d v="2026-08-05T00:00:00"/>
    <n v="10850.68"/>
    <s v="INR"/>
    <s v="Approved"/>
    <s v="No"/>
    <s v="EDI"/>
    <s v="Unique"/>
    <x v="1"/>
    <n v="10850.68"/>
    <n v="0"/>
    <x v="1"/>
    <x v="1"/>
  </r>
  <r>
    <s v="IN00042"/>
    <x v="18"/>
    <s v="INV-V010-62743"/>
    <s v="PO-831076"/>
    <d v="2026-09-17T00:00:00"/>
    <d v="2026-10-02T00:00:00"/>
    <n v="7815"/>
    <s v="INR"/>
    <s v="Approved"/>
    <s v="Yes"/>
    <s v="Supplier Portal"/>
    <s v="Unique"/>
    <x v="1"/>
    <n v="7815"/>
    <n v="0"/>
    <x v="1"/>
    <x v="1"/>
  </r>
  <r>
    <s v="IN00043"/>
    <x v="5"/>
    <s v="INV-V013-81819"/>
    <s v="PO-974224"/>
    <d v="2026-03-31T00:00:00"/>
    <d v="2026-04-15T00:00:00"/>
    <n v="15434.01"/>
    <s v="INR"/>
    <s v="Received"/>
    <s v="No"/>
    <s v="Supplier Portal"/>
    <s v="Unique"/>
    <x v="0"/>
    <n v="0"/>
    <n v="15434.01"/>
    <x v="0"/>
    <x v="0"/>
  </r>
  <r>
    <s v="IN00044"/>
    <x v="19"/>
    <s v="INV-V019-38010"/>
    <s v="PO-636004"/>
    <d v="2026-06-14T00:00:00"/>
    <d v="2026-07-14T00:00:00"/>
    <n v="11688.91"/>
    <s v="INR"/>
    <s v="Approved"/>
    <s v="No"/>
    <s v="EDI"/>
    <s v="Unique"/>
    <x v="2"/>
    <n v="0"/>
    <n v="11688.91"/>
    <x v="2"/>
    <x v="0"/>
  </r>
  <r>
    <s v="IN00045"/>
    <x v="0"/>
    <s v="INV-V006-91167"/>
    <s v="PO-451470"/>
    <d v="2026-02-13T00:00:00"/>
    <d v="2026-02-28T00:00:00"/>
    <n v="7180.61"/>
    <s v="INR"/>
    <s v="Received"/>
    <s v="No"/>
    <s v="Email"/>
    <s v="Unique"/>
    <x v="1"/>
    <n v="7180.61"/>
    <n v="0"/>
    <x v="1"/>
    <x v="1"/>
  </r>
  <r>
    <s v="IN00046"/>
    <x v="18"/>
    <s v="INV-V010-16057"/>
    <s v="PO-356736"/>
    <d v="2026-04-26T00:00:00"/>
    <d v="2026-05-11T00:00:00"/>
    <n v="20187.28"/>
    <s v="INR"/>
    <s v="On Hold"/>
    <s v="No"/>
    <s v="Email"/>
    <s v="Unique"/>
    <x v="4"/>
    <n v="0"/>
    <n v="20187.28"/>
    <x v="4"/>
    <x v="0"/>
  </r>
  <r>
    <s v="IN00047"/>
    <x v="15"/>
    <s v="INV-V015-60328"/>
    <s v="PO-618392"/>
    <d v="2026-08-01T00:00:00"/>
    <d v="2026-08-16T00:00:00"/>
    <n v="22167.09"/>
    <s v="INR"/>
    <s v="Approved"/>
    <s v="No"/>
    <s v="EDI"/>
    <s v="Unique"/>
    <x v="1"/>
    <n v="22167.09"/>
    <n v="0"/>
    <x v="1"/>
    <x v="1"/>
  </r>
  <r>
    <s v="IN00048"/>
    <x v="10"/>
    <s v="INV-V001-77889"/>
    <s v="PO-587115"/>
    <d v="2026-02-24T00:00:00"/>
    <d v="2026-03-11T00:00:00"/>
    <n v="19487.099999999999"/>
    <s v="INR"/>
    <s v="Received"/>
    <s v="No"/>
    <s v="Email"/>
    <s v="Unique"/>
    <x v="0"/>
    <n v="0"/>
    <n v="19487.099999999999"/>
    <x v="0"/>
    <x v="0"/>
  </r>
  <r>
    <s v="IN00049"/>
    <x v="15"/>
    <s v="INV-V015-83259"/>
    <s v="PO-724377"/>
    <d v="2026-03-10T00:00:00"/>
    <d v="2026-03-25T00:00:00"/>
    <n v="20059.25"/>
    <s v="INR"/>
    <s v="Approved"/>
    <s v="No"/>
    <s v="Supplier Portal"/>
    <s v="Unique"/>
    <x v="4"/>
    <n v="0"/>
    <n v="20059.25"/>
    <x v="4"/>
    <x v="0"/>
  </r>
  <r>
    <s v="IN00050"/>
    <x v="17"/>
    <s v="INV-V020-68446"/>
    <s v="PO-266889"/>
    <d v="2026-09-16T00:00:00"/>
    <d v="2026-10-31T00:00:00"/>
    <n v="10737.31"/>
    <s v="INR"/>
    <s v="Modified"/>
    <s v="No"/>
    <s v="Supplier Portal"/>
    <s v="Unique"/>
    <x v="0"/>
    <n v="0"/>
    <n v="10737.31"/>
    <x v="0"/>
    <x v="0"/>
  </r>
  <r>
    <s v="IN00051"/>
    <x v="1"/>
    <s v="INV-V008-92149"/>
    <s v="PO-350867"/>
    <d v="2026-05-22T00:00:00"/>
    <d v="2026-06-06T00:00:00"/>
    <n v="19173.439999999999"/>
    <s v="INR"/>
    <s v="Approved"/>
    <s v="Yes"/>
    <s v="Supplier Portal"/>
    <s v="Unique"/>
    <x v="0"/>
    <n v="0"/>
    <n v="19173.439999999999"/>
    <x v="0"/>
    <x v="0"/>
  </r>
  <r>
    <s v="IN00052"/>
    <x v="1"/>
    <s v="INV-V008-20561"/>
    <s v="PO-245095"/>
    <d v="2026-05-20T00:00:00"/>
    <d v="2026-06-04T00:00:00"/>
    <n v="8475.89"/>
    <s v="INR"/>
    <s v="Received"/>
    <s v="No"/>
    <s v="Email"/>
    <s v="Unique"/>
    <x v="1"/>
    <n v="8475.89"/>
    <n v="0"/>
    <x v="1"/>
    <x v="1"/>
  </r>
  <r>
    <s v="IN00053"/>
    <x v="8"/>
    <s v="INV-V007-71069"/>
    <s v="PO-535970"/>
    <d v="2026-02-02T00:00:00"/>
    <d v="2026-03-04T00:00:00"/>
    <n v="10441.91"/>
    <s v="INR"/>
    <s v="Received"/>
    <s v="No"/>
    <s v="Supplier Portal"/>
    <s v="Unique"/>
    <x v="1"/>
    <n v="10441.91"/>
    <n v="0"/>
    <x v="1"/>
    <x v="1"/>
  </r>
  <r>
    <s v="IN00054"/>
    <x v="19"/>
    <s v="INV-V019-59857"/>
    <s v="PO-600149"/>
    <d v="2026-01-11T00:00:00"/>
    <d v="2026-02-10T00:00:00"/>
    <n v="21435.49"/>
    <s v="INR"/>
    <s v="Received"/>
    <s v="No"/>
    <s v="Supplier Portal"/>
    <s v="Unique"/>
    <x v="4"/>
    <n v="0"/>
    <n v="21435.49"/>
    <x v="4"/>
    <x v="0"/>
  </r>
  <r>
    <s v="IN00055"/>
    <x v="12"/>
    <s v="INV-V014-89069"/>
    <s v="PO-331251"/>
    <d v="2026-10-03T00:00:00"/>
    <d v="2026-11-17T00:00:00"/>
    <n v="18718.189999999999"/>
    <s v="INR"/>
    <s v="Approved"/>
    <s v="No"/>
    <s v="Supplier Portal"/>
    <s v="Unique"/>
    <x v="1"/>
    <n v="18718.189999999999"/>
    <n v="0"/>
    <x v="1"/>
    <x v="1"/>
  </r>
  <r>
    <s v="IN00056"/>
    <x v="10"/>
    <s v="INV-V001-62994"/>
    <s v="PO-859359"/>
    <d v="2026-07-19T00:00:00"/>
    <d v="2026-08-03T00:00:00"/>
    <n v="8482.9"/>
    <s v="INR"/>
    <s v="Received"/>
    <s v="No"/>
    <s v="Email"/>
    <s v="Unique"/>
    <x v="0"/>
    <n v="0"/>
    <n v="8482.9"/>
    <x v="0"/>
    <x v="0"/>
  </r>
  <r>
    <s v="IN00057"/>
    <x v="17"/>
    <s v="INV-V020-83975"/>
    <s v="PO-795205"/>
    <d v="2026-10-01T00:00:00"/>
    <d v="2026-11-15T00:00:00"/>
    <n v="790.93"/>
    <s v="INR"/>
    <s v="Received"/>
    <s v="No"/>
    <s v="Email"/>
    <s v="Unique"/>
    <x v="1"/>
    <n v="790.93"/>
    <n v="0"/>
    <x v="1"/>
    <x v="1"/>
  </r>
  <r>
    <s v="IN00058"/>
    <x v="15"/>
    <s v="INV-V015-37742"/>
    <s v="PO-576786"/>
    <d v="2026-04-04T00:00:00"/>
    <d v="2026-04-19T00:00:00"/>
    <n v="1371.08"/>
    <s v="INR"/>
    <s v="Approved"/>
    <s v="No"/>
    <s v="Supplier Portal"/>
    <s v="Unique"/>
    <x v="1"/>
    <n v="1371.08"/>
    <n v="0"/>
    <x v="1"/>
    <x v="1"/>
  </r>
  <r>
    <s v="IN00059"/>
    <x v="7"/>
    <s v="INV-V009-12540"/>
    <s v="PO-885408"/>
    <d v="2026-08-04T00:00:00"/>
    <d v="2026-09-03T00:00:00"/>
    <n v="6396.52"/>
    <s v="INR"/>
    <s v="Approved"/>
    <s v="No"/>
    <s v="Supplier Portal"/>
    <s v="Duplicate"/>
    <x v="1"/>
    <n v="6396.52"/>
    <n v="0"/>
    <x v="3"/>
    <x v="1"/>
  </r>
  <r>
    <s v="IN00060"/>
    <x v="1"/>
    <s v="INV-V008-14067"/>
    <s v="PO-359295"/>
    <d v="2026-02-05T00:00:00"/>
    <d v="2026-02-20T00:00:00"/>
    <n v="19557.080000000002"/>
    <s v="INR"/>
    <s v="Received"/>
    <s v="Yes"/>
    <s v="Email"/>
    <s v="Unique"/>
    <x v="1"/>
    <n v="19557.080000000002"/>
    <n v="0"/>
    <x v="1"/>
    <x v="1"/>
  </r>
  <r>
    <s v="IN00061"/>
    <x v="1"/>
    <s v="INV-V008-38569"/>
    <s v="PO-587623"/>
    <d v="2026-03-06T00:00:00"/>
    <d v="2026-03-21T00:00:00"/>
    <n v="11902.2"/>
    <s v="INR"/>
    <s v="Modified"/>
    <s v="No"/>
    <s v="Email"/>
    <s v="Duplicate"/>
    <x v="0"/>
    <n v="0"/>
    <n v="11902.2"/>
    <x v="3"/>
    <x v="0"/>
  </r>
  <r>
    <s v="IN00062"/>
    <x v="17"/>
    <s v="INV-V020-50768"/>
    <s v="PO-213349"/>
    <d v="2026-02-28T00:00:00"/>
    <d v="2026-04-14T00:00:00"/>
    <n v="19471.46"/>
    <s v="INR"/>
    <s v="Approved"/>
    <s v="No"/>
    <s v="EDI"/>
    <s v="Unique"/>
    <x v="1"/>
    <n v="19471.46"/>
    <n v="0"/>
    <x v="1"/>
    <x v="1"/>
  </r>
  <r>
    <s v="IN00063"/>
    <x v="5"/>
    <s v="INV-V013-87607"/>
    <s v="PO-824161"/>
    <d v="2026-07-23T00:00:00"/>
    <d v="2026-08-07T00:00:00"/>
    <n v="23543.79"/>
    <s v="INR"/>
    <s v="Modified"/>
    <s v="No"/>
    <s v="EDI"/>
    <s v="Unique"/>
    <x v="1"/>
    <n v="23543.79"/>
    <n v="0"/>
    <x v="1"/>
    <x v="1"/>
  </r>
  <r>
    <s v="IN00064"/>
    <x v="18"/>
    <s v="INV-V010-15383"/>
    <s v="PO-464069"/>
    <d v="2026-03-03T00:00:00"/>
    <d v="2026-03-18T00:00:00"/>
    <n v="19930.13"/>
    <s v="INR"/>
    <s v="Approved"/>
    <s v="No"/>
    <s v="Email"/>
    <s v="Unique"/>
    <x v="1"/>
    <n v="19930.13"/>
    <n v="0"/>
    <x v="1"/>
    <x v="1"/>
  </r>
  <r>
    <s v="IN00065"/>
    <x v="4"/>
    <s v="INV-V017-74251"/>
    <s v="PO-210665"/>
    <d v="2026-06-24T00:00:00"/>
    <d v="2026-07-24T00:00:00"/>
    <n v="434.79"/>
    <s v="INR"/>
    <s v="Approved"/>
    <s v="No"/>
    <s v="Supplier Portal"/>
    <s v="Unique"/>
    <x v="3"/>
    <n v="400.01"/>
    <n v="34.78000000000003"/>
    <x v="5"/>
    <x v="0"/>
  </r>
  <r>
    <s v="IN00066"/>
    <x v="16"/>
    <s v="INV-V005-95256"/>
    <s v="PO-383201"/>
    <d v="2026-08-11T00:00:00"/>
    <d v="2026-08-26T00:00:00"/>
    <n v="4502.29"/>
    <s v="INR"/>
    <s v="Approved"/>
    <s v="No"/>
    <s v="Supplier Portal"/>
    <s v="Duplicate"/>
    <x v="1"/>
    <n v="4502.29"/>
    <n v="0"/>
    <x v="3"/>
    <x v="1"/>
  </r>
  <r>
    <s v="IN00067"/>
    <x v="15"/>
    <s v="INV-V015-52245"/>
    <s v="PO-993085"/>
    <d v="2026-08-12T00:00:00"/>
    <d v="2026-08-27T00:00:00"/>
    <n v="20664.28"/>
    <s v="INR"/>
    <s v="Approved"/>
    <s v="No"/>
    <s v="Supplier Portal"/>
    <s v="Unique"/>
    <x v="0"/>
    <n v="0"/>
    <n v="20664.28"/>
    <x v="0"/>
    <x v="0"/>
  </r>
  <r>
    <s v="IN00068"/>
    <x v="15"/>
    <s v="INV-V015-97580"/>
    <s v="PO-497399"/>
    <d v="2026-05-05T00:00:00"/>
    <d v="2026-05-20T00:00:00"/>
    <n v="18791.849999999999"/>
    <s v="INR"/>
    <s v="Approved"/>
    <s v="No"/>
    <s v="Supplier Portal"/>
    <s v="Unique"/>
    <x v="0"/>
    <n v="0"/>
    <n v="18791.849999999999"/>
    <x v="0"/>
    <x v="0"/>
  </r>
  <r>
    <s v="IN00069"/>
    <x v="0"/>
    <s v="INV-V006-54608"/>
    <s v="PO-393243"/>
    <d v="2026-09-07T00:00:00"/>
    <d v="2026-09-22T00:00:00"/>
    <n v="5397.54"/>
    <s v="INR"/>
    <s v="On Hold"/>
    <s v="No"/>
    <s v="Supplier Portal"/>
    <s v="Unique"/>
    <x v="0"/>
    <n v="0"/>
    <n v="5397.54"/>
    <x v="0"/>
    <x v="0"/>
  </r>
  <r>
    <s v="IN00070"/>
    <x v="3"/>
    <s v="INV-V018-41635"/>
    <s v="PO-855053"/>
    <d v="2026-01-06T00:00:00"/>
    <d v="2026-02-05T00:00:00"/>
    <n v="12973.69"/>
    <s v="INR"/>
    <s v="Approved"/>
    <s v="No"/>
    <s v="Email"/>
    <s v="Unique"/>
    <x v="1"/>
    <n v="12973.69"/>
    <n v="0"/>
    <x v="1"/>
    <x v="1"/>
  </r>
  <r>
    <s v="IN00071"/>
    <x v="11"/>
    <s v="INV-V016-63005"/>
    <s v="PO-825391"/>
    <d v="2026-09-09T00:00:00"/>
    <d v="2026-09-24T00:00:00"/>
    <n v="35298.25"/>
    <s v="INR"/>
    <s v="Approved"/>
    <s v="No"/>
    <s v="Supplier Portal"/>
    <s v="Unique"/>
    <x v="0"/>
    <n v="0"/>
    <n v="35298.25"/>
    <x v="0"/>
    <x v="0"/>
  </r>
  <r>
    <s v="IN00072"/>
    <x v="11"/>
    <s v="INV-V016-82140"/>
    <s v="PO-446859"/>
    <d v="2026-10-11T00:00:00"/>
    <d v="2026-10-26T00:00:00"/>
    <n v="13329.34"/>
    <s v="INR"/>
    <s v="Approved"/>
    <s v="No"/>
    <s v="Supplier Portal"/>
    <s v="Unique"/>
    <x v="1"/>
    <n v="13329.34"/>
    <n v="0"/>
    <x v="1"/>
    <x v="1"/>
  </r>
  <r>
    <s v="IN00073"/>
    <x v="7"/>
    <s v="INV-V009-25670"/>
    <s v="PO-878967"/>
    <d v="2026-04-29T00:00:00"/>
    <d v="2026-05-29T00:00:00"/>
    <n v="3121.92"/>
    <s v="INR"/>
    <s v="Approved"/>
    <s v="No"/>
    <s v="Email"/>
    <s v="Unique"/>
    <x v="1"/>
    <n v="3121.92"/>
    <n v="0"/>
    <x v="1"/>
    <x v="1"/>
  </r>
  <r>
    <s v="IN00074"/>
    <x v="8"/>
    <s v="INV-V007-87278"/>
    <s v="PO-897135"/>
    <d v="2026-04-21T00:00:00"/>
    <d v="2026-05-21T00:00:00"/>
    <n v="18496.48"/>
    <s v="INR"/>
    <s v="Approved"/>
    <s v="No"/>
    <s v="Email"/>
    <s v="Unique"/>
    <x v="1"/>
    <n v="18496.48"/>
    <n v="0"/>
    <x v="1"/>
    <x v="1"/>
  </r>
  <r>
    <s v="IN00075"/>
    <x v="8"/>
    <s v="INV-V007-11854"/>
    <s v="PO-842411"/>
    <d v="2026-06-01T00:00:00"/>
    <d v="2026-07-01T00:00:00"/>
    <n v="5779.78"/>
    <s v="INR"/>
    <s v="Approved"/>
    <s v="No"/>
    <s v="Email"/>
    <s v="Unique"/>
    <x v="1"/>
    <n v="5779.78"/>
    <n v="0"/>
    <x v="1"/>
    <x v="1"/>
  </r>
  <r>
    <s v="IN00076"/>
    <x v="3"/>
    <s v="INV-V018-74340"/>
    <s v="PO-207570"/>
    <d v="2026-05-30T00:00:00"/>
    <d v="2026-06-29T00:00:00"/>
    <n v="17471.740000000002"/>
    <s v="INR"/>
    <s v="On Hold"/>
    <s v="No"/>
    <s v="Supplier Portal"/>
    <s v="Unique"/>
    <x v="1"/>
    <n v="17471.740000000002"/>
    <n v="0"/>
    <x v="1"/>
    <x v="1"/>
  </r>
  <r>
    <s v="IN00077"/>
    <x v="11"/>
    <s v="INV-V016-43092"/>
    <s v="PO-600935"/>
    <d v="2026-08-14T00:00:00"/>
    <d v="2026-08-29T00:00:00"/>
    <n v="8596.76"/>
    <s v="INR"/>
    <s v="Received"/>
    <s v="Yes"/>
    <s v="Supplier Portal"/>
    <s v="Unique"/>
    <x v="0"/>
    <n v="0"/>
    <n v="8596.76"/>
    <x v="0"/>
    <x v="0"/>
  </r>
  <r>
    <s v="IN00078"/>
    <x v="14"/>
    <s v="INV-V003-49824"/>
    <s v="PO-189318"/>
    <d v="2026-01-28T00:00:00"/>
    <d v="2026-03-14T00:00:00"/>
    <n v="3894.97"/>
    <s v="INR"/>
    <s v="On Hold"/>
    <s v="Yes"/>
    <s v="Supplier Portal"/>
    <s v="Unique"/>
    <x v="1"/>
    <n v="3894.97"/>
    <n v="0"/>
    <x v="1"/>
    <x v="1"/>
  </r>
  <r>
    <s v="IN00079"/>
    <x v="17"/>
    <s v="INV-V020-68028"/>
    <s v="PO-411797"/>
    <d v="2026-04-26T00:00:00"/>
    <d v="2026-06-10T00:00:00"/>
    <n v="19419.259999999998"/>
    <s v="INR"/>
    <s v="On Hold"/>
    <s v="No"/>
    <s v="Supplier Portal"/>
    <s v="Unique"/>
    <x v="1"/>
    <n v="19419.259999999998"/>
    <n v="0"/>
    <x v="1"/>
    <x v="1"/>
  </r>
  <r>
    <s v="IN00080"/>
    <x v="19"/>
    <s v="INV-V019-37235"/>
    <s v="PO-755900"/>
    <d v="2026-01-31T00:00:00"/>
    <d v="2026-03-02T00:00:00"/>
    <n v="15287.62"/>
    <s v="INR"/>
    <s v="Approved"/>
    <s v="No"/>
    <s v="Email"/>
    <s v="Unique"/>
    <x v="1"/>
    <n v="15287.62"/>
    <n v="0"/>
    <x v="1"/>
    <x v="1"/>
  </r>
  <r>
    <s v="IN00081"/>
    <x v="1"/>
    <s v="INV-V008-63545"/>
    <s v="PO-572387"/>
    <d v="2026-03-30T00:00:00"/>
    <d v="2026-04-14T00:00:00"/>
    <n v="13853.57"/>
    <s v="INR"/>
    <s v="Modified"/>
    <s v="No"/>
    <s v="Email"/>
    <s v="Unique"/>
    <x v="1"/>
    <n v="13853.57"/>
    <n v="0"/>
    <x v="1"/>
    <x v="1"/>
  </r>
  <r>
    <s v="IN00082"/>
    <x v="1"/>
    <s v="INV-V008-69510"/>
    <s v="PO-174637"/>
    <d v="2026-05-28T00:00:00"/>
    <d v="2026-06-12T00:00:00"/>
    <n v="17709.060000000001"/>
    <s v="INR"/>
    <s v="Modified"/>
    <s v="No"/>
    <s v="EDI"/>
    <s v="Unique"/>
    <x v="1"/>
    <n v="17709.060000000001"/>
    <n v="0"/>
    <x v="1"/>
    <x v="1"/>
  </r>
  <r>
    <s v="IN00083"/>
    <x v="19"/>
    <s v="INV-V019-94886"/>
    <s v="PO-256226"/>
    <d v="2026-04-12T00:00:00"/>
    <d v="2026-05-12T00:00:00"/>
    <n v="10697.46"/>
    <s v="INR"/>
    <s v="On Hold"/>
    <s v="No"/>
    <s v="Email"/>
    <s v="Duplicate"/>
    <x v="1"/>
    <n v="10697.46"/>
    <n v="0"/>
    <x v="3"/>
    <x v="1"/>
  </r>
  <r>
    <s v="IN00084"/>
    <x v="13"/>
    <s v="INV-V002-84607"/>
    <s v="PO-402630"/>
    <d v="2026-03-26T00:00:00"/>
    <d v="2026-04-10T00:00:00"/>
    <n v="19840.599999999999"/>
    <s v="INR"/>
    <s v="Approved"/>
    <s v="No"/>
    <s v="Supplier Portal"/>
    <s v="Unique"/>
    <x v="1"/>
    <n v="19840.599999999999"/>
    <n v="0"/>
    <x v="1"/>
    <x v="1"/>
  </r>
  <r>
    <s v="IN00085"/>
    <x v="5"/>
    <s v="INV-V013-20543"/>
    <s v="PO-727086"/>
    <d v="2026-05-20T00:00:00"/>
    <d v="2026-06-04T00:00:00"/>
    <n v="12571.75"/>
    <s v="INR"/>
    <s v="Received"/>
    <s v="No"/>
    <s v="Supplier Portal"/>
    <s v="Unique"/>
    <x v="1"/>
    <n v="12571.75"/>
    <n v="0"/>
    <x v="1"/>
    <x v="1"/>
  </r>
  <r>
    <s v="IN00086"/>
    <x v="17"/>
    <s v="INV-V020-98381"/>
    <s v="PO-976566"/>
    <d v="2026-05-09T00:00:00"/>
    <d v="2026-06-23T00:00:00"/>
    <n v="763.52"/>
    <s v="INR"/>
    <s v="On Hold"/>
    <s v="No"/>
    <s v="Email"/>
    <s v="Unique"/>
    <x v="2"/>
    <n v="0"/>
    <n v="763.52"/>
    <x v="2"/>
    <x v="0"/>
  </r>
  <r>
    <s v="IN00087"/>
    <x v="7"/>
    <s v="INV-V009-78021"/>
    <s v="PO-783157"/>
    <d v="2026-01-21T00:00:00"/>
    <d v="2026-02-20T00:00:00"/>
    <n v="19106.150000000001"/>
    <s v="INR"/>
    <s v="Approved"/>
    <s v="No"/>
    <s v="EDI"/>
    <s v="Unique"/>
    <x v="1"/>
    <n v="19679.330000000002"/>
    <n v="-573.18000000000029"/>
    <x v="1"/>
    <x v="1"/>
  </r>
  <r>
    <s v="IN00088"/>
    <x v="12"/>
    <s v="INV-V014-63523"/>
    <s v="PO-449499"/>
    <d v="2026-09-09T00:00:00"/>
    <d v="2026-10-24T00:00:00"/>
    <n v="24230.09"/>
    <s v="INR"/>
    <s v="Approved"/>
    <s v="Yes"/>
    <s v="Email"/>
    <s v="Unique"/>
    <x v="1"/>
    <n v="24230.09"/>
    <n v="0"/>
    <x v="1"/>
    <x v="1"/>
  </r>
  <r>
    <s v="IN00089"/>
    <x v="2"/>
    <s v="INV-V011-62488"/>
    <s v="PO-953085"/>
    <d v="2026-07-30T00:00:00"/>
    <d v="2026-08-29T00:00:00"/>
    <n v="17378.599999999999"/>
    <s v="INR"/>
    <s v="Modified"/>
    <s v="Yes"/>
    <s v="Email"/>
    <s v="Unique"/>
    <x v="1"/>
    <n v="17378.599999999999"/>
    <n v="0"/>
    <x v="1"/>
    <x v="1"/>
  </r>
  <r>
    <s v="IN00090"/>
    <x v="2"/>
    <s v="INV-V011-62976"/>
    <s v="PO-639593"/>
    <d v="2026-05-10T00:00:00"/>
    <d v="2026-06-09T00:00:00"/>
    <n v="8163.05"/>
    <s v="INR"/>
    <s v="Modified"/>
    <s v="Yes"/>
    <s v="EDI"/>
    <s v="Unique"/>
    <x v="1"/>
    <n v="8163.05"/>
    <n v="0"/>
    <x v="1"/>
    <x v="1"/>
  </r>
  <r>
    <s v="IN00091"/>
    <x v="15"/>
    <s v="INV-V015-91609"/>
    <s v="PO-893188"/>
    <d v="2026-07-31T00:00:00"/>
    <d v="2026-08-15T00:00:00"/>
    <n v="1468.6"/>
    <s v="INR"/>
    <s v="Approved"/>
    <s v="No"/>
    <s v="Email"/>
    <s v="Unique"/>
    <x v="0"/>
    <n v="0"/>
    <n v="1468.6"/>
    <x v="0"/>
    <x v="0"/>
  </r>
  <r>
    <s v="IN00092"/>
    <x v="8"/>
    <s v="INV-V007-67424"/>
    <s v="PO-832168"/>
    <d v="2026-05-17T00:00:00"/>
    <d v="2026-06-16T00:00:00"/>
    <n v="13784.58"/>
    <s v="INR"/>
    <s v="Approved"/>
    <s v="Yes"/>
    <s v="EDI"/>
    <s v="Unique"/>
    <x v="1"/>
    <n v="13784.58"/>
    <n v="0"/>
    <x v="1"/>
    <x v="1"/>
  </r>
  <r>
    <s v="IN00093"/>
    <x v="17"/>
    <s v="INV-V020-11792"/>
    <s v="PO-679077"/>
    <d v="2026-05-03T00:00:00"/>
    <d v="2026-06-17T00:00:00"/>
    <n v="17779.400000000001"/>
    <s v="INR"/>
    <s v="Approved"/>
    <s v="No"/>
    <s v="Email"/>
    <s v="Unique"/>
    <x v="1"/>
    <n v="17779.400000000001"/>
    <n v="0"/>
    <x v="1"/>
    <x v="1"/>
  </r>
  <r>
    <s v="IN00094"/>
    <x v="15"/>
    <s v="INV-V015-48254"/>
    <s v="PO-633590"/>
    <d v="2026-03-02T00:00:00"/>
    <d v="2026-03-17T00:00:00"/>
    <n v="16235.02"/>
    <s v="INR"/>
    <s v="Modified"/>
    <s v="No"/>
    <s v="Supplier Portal"/>
    <s v="Unique"/>
    <x v="1"/>
    <n v="16235.02"/>
    <n v="0"/>
    <x v="1"/>
    <x v="1"/>
  </r>
  <r>
    <s v="IN00095"/>
    <x v="11"/>
    <s v="INV-V016-34983"/>
    <s v="PO-728492"/>
    <d v="2026-05-05T00:00:00"/>
    <d v="2026-05-20T00:00:00"/>
    <n v="11484.85"/>
    <s v="INR"/>
    <s v="Approved"/>
    <s v="No"/>
    <s v="Email"/>
    <s v="Unique"/>
    <x v="1"/>
    <n v="11484.85"/>
    <n v="0"/>
    <x v="1"/>
    <x v="1"/>
  </r>
  <r>
    <s v="IN00096"/>
    <x v="7"/>
    <s v="INV-V009-45018"/>
    <s v="PO-960408"/>
    <d v="2026-08-01T00:00:00"/>
    <d v="2026-08-31T00:00:00"/>
    <n v="8576.1"/>
    <s v="INR"/>
    <s v="Received"/>
    <s v="No"/>
    <s v="EDI"/>
    <s v="Unique"/>
    <x v="4"/>
    <n v="0"/>
    <n v="8576.1"/>
    <x v="4"/>
    <x v="0"/>
  </r>
  <r>
    <s v="IN00097"/>
    <x v="19"/>
    <s v="INV-V019-73483"/>
    <s v="PO-461888"/>
    <d v="2026-09-08T00:00:00"/>
    <d v="2026-10-08T00:00:00"/>
    <n v="21647.68"/>
    <s v="INR"/>
    <s v="Approved"/>
    <s v="No"/>
    <s v="Supplier Portal"/>
    <s v="Unique"/>
    <x v="0"/>
    <n v="0"/>
    <n v="21647.68"/>
    <x v="0"/>
    <x v="0"/>
  </r>
  <r>
    <s v="IN00098"/>
    <x v="15"/>
    <s v="INV-V015-41300"/>
    <s v="PO-699573"/>
    <d v="2026-06-14T00:00:00"/>
    <d v="2026-06-29T00:00:00"/>
    <n v="21755.69"/>
    <s v="INR"/>
    <s v="Approved"/>
    <s v="No"/>
    <s v="Supplier Portal"/>
    <s v="Unique"/>
    <x v="2"/>
    <n v="0"/>
    <n v="21755.69"/>
    <x v="2"/>
    <x v="0"/>
  </r>
  <r>
    <s v="IN00099"/>
    <x v="13"/>
    <s v="INV-V002-59968"/>
    <s v="PO-504832"/>
    <d v="2026-06-12T00:00:00"/>
    <d v="2026-06-27T00:00:00"/>
    <n v="18648.259999999998"/>
    <s v="INR"/>
    <s v="On Hold"/>
    <s v="No"/>
    <s v="EDI"/>
    <s v="Unique"/>
    <x v="1"/>
    <n v="18648.259999999998"/>
    <n v="0"/>
    <x v="1"/>
    <x v="1"/>
  </r>
  <r>
    <s v="IN00100"/>
    <x v="16"/>
    <s v="INV-V005-87356"/>
    <s v="PO-448121"/>
    <d v="2026-09-11T00:00:00"/>
    <d v="2026-09-26T00:00:00"/>
    <n v="24124.83"/>
    <s v="INR"/>
    <s v="On Hold"/>
    <s v="No"/>
    <s v="Supplier Portal"/>
    <s v="Unique"/>
    <x v="4"/>
    <n v="0"/>
    <n v="24124.83"/>
    <x v="4"/>
    <x v="0"/>
  </r>
  <r>
    <s v="IN00101"/>
    <x v="6"/>
    <s v="INV-V004-95823"/>
    <s v="PO-261859"/>
    <d v="2026-09-27T00:00:00"/>
    <d v="2026-10-27T00:00:00"/>
    <n v="30045.439999999999"/>
    <s v="INR"/>
    <s v="Received"/>
    <s v="No"/>
    <s v="Supplier Portal"/>
    <s v="Unique"/>
    <x v="1"/>
    <n v="30045.439999999999"/>
    <n v="0"/>
    <x v="1"/>
    <x v="1"/>
  </r>
  <r>
    <s v="IN00102"/>
    <x v="2"/>
    <s v="INV-V011-98389"/>
    <s v="PO-659543"/>
    <d v="2026-07-23T00:00:00"/>
    <d v="2026-08-22T00:00:00"/>
    <n v="16287.94"/>
    <s v="INR"/>
    <s v="Approved"/>
    <s v="No"/>
    <s v="EDI"/>
    <s v="Unique"/>
    <x v="1"/>
    <n v="16287.94"/>
    <n v="0"/>
    <x v="1"/>
    <x v="1"/>
  </r>
  <r>
    <s v="IN00103"/>
    <x v="11"/>
    <s v="INV-V016-47667"/>
    <s v="PO-338536"/>
    <d v="2026-10-05T00:00:00"/>
    <d v="2026-10-20T00:00:00"/>
    <n v="47090.64"/>
    <s v="INR"/>
    <s v="Modified"/>
    <s v="No"/>
    <s v="Email"/>
    <s v="Unique"/>
    <x v="1"/>
    <n v="47090.64"/>
    <n v="0"/>
    <x v="1"/>
    <x v="1"/>
  </r>
  <r>
    <s v="IN00104"/>
    <x v="6"/>
    <s v="INV-V004-13794"/>
    <s v="PO-148225"/>
    <d v="2026-08-16T00:00:00"/>
    <d v="2026-09-15T00:00:00"/>
    <n v="4259.16"/>
    <s v="INR"/>
    <s v="Approved"/>
    <s v="Yes"/>
    <s v="Supplier Portal"/>
    <s v="Unique"/>
    <x v="0"/>
    <n v="0"/>
    <n v="4259.16"/>
    <x v="0"/>
    <x v="0"/>
  </r>
  <r>
    <s v="IN00105"/>
    <x v="9"/>
    <s v="INV-V012-84177"/>
    <s v="PO-814919"/>
    <d v="2026-08-09T00:00:00"/>
    <d v="2026-09-23T00:00:00"/>
    <n v="3741.78"/>
    <s v="INR"/>
    <s v="Modified"/>
    <s v="No"/>
    <s v="Email"/>
    <s v="Unique"/>
    <x v="1"/>
    <n v="3741.78"/>
    <n v="0"/>
    <x v="1"/>
    <x v="1"/>
  </r>
  <r>
    <s v="IN00106"/>
    <x v="17"/>
    <s v="INV-V020-86435"/>
    <s v="PO-250069"/>
    <d v="2026-07-15T00:00:00"/>
    <d v="2026-08-29T00:00:00"/>
    <n v="15538.39"/>
    <s v="INR"/>
    <s v="Approved"/>
    <s v="No"/>
    <s v="Supplier Portal"/>
    <s v="Unique"/>
    <x v="1"/>
    <n v="15538.39"/>
    <n v="0"/>
    <x v="1"/>
    <x v="1"/>
  </r>
  <r>
    <s v="IN00107"/>
    <x v="7"/>
    <s v="INV-V009-47700"/>
    <s v="PO-810526"/>
    <d v="2026-01-05T00:00:00"/>
    <d v="2026-02-04T00:00:00"/>
    <n v="22484.84"/>
    <s v="INR"/>
    <s v="Approved"/>
    <s v="Yes"/>
    <s v="Supplier Portal"/>
    <s v="Unique"/>
    <x v="1"/>
    <n v="22484.84"/>
    <n v="0"/>
    <x v="1"/>
    <x v="1"/>
  </r>
  <r>
    <s v="IN00108"/>
    <x v="19"/>
    <s v="INV-V019-42780"/>
    <s v="PO-579027"/>
    <d v="2026-06-03T00:00:00"/>
    <d v="2026-07-03T00:00:00"/>
    <n v="16016.79"/>
    <s v="INR"/>
    <s v="Modified"/>
    <s v="No"/>
    <s v="Supplier Portal"/>
    <s v="Duplicate"/>
    <x v="1"/>
    <n v="16016.79"/>
    <n v="0"/>
    <x v="3"/>
    <x v="1"/>
  </r>
  <r>
    <s v="IN00109"/>
    <x v="11"/>
    <s v="INV-V016-85341"/>
    <s v="PO-410244"/>
    <d v="2026-02-24T00:00:00"/>
    <d v="2026-03-11T00:00:00"/>
    <n v="6021.68"/>
    <s v="INR"/>
    <s v="On Hold"/>
    <s v="No"/>
    <s v="EDI"/>
    <s v="Unique"/>
    <x v="1"/>
    <n v="6021.68"/>
    <n v="0"/>
    <x v="1"/>
    <x v="1"/>
  </r>
  <r>
    <s v="IN00110"/>
    <x v="5"/>
    <s v="INV-V013-16428"/>
    <s v="PO-735863"/>
    <d v="2026-05-21T00:00:00"/>
    <d v="2026-06-05T00:00:00"/>
    <n v="321.48"/>
    <s v="INR"/>
    <s v="Modified"/>
    <s v="No"/>
    <s v="Supplier Portal"/>
    <s v="Unique"/>
    <x v="1"/>
    <n v="321.48"/>
    <n v="0"/>
    <x v="1"/>
    <x v="1"/>
  </r>
  <r>
    <s v="IN00111"/>
    <x v="1"/>
    <s v="INV-V008-42850"/>
    <s v="PO-810687"/>
    <d v="2026-06-30T00:00:00"/>
    <d v="2026-07-15T00:00:00"/>
    <n v="5568.83"/>
    <s v="INR"/>
    <s v="Modified"/>
    <s v="No"/>
    <s v="EDI"/>
    <s v="Unique"/>
    <x v="1"/>
    <n v="5568.83"/>
    <n v="0"/>
    <x v="1"/>
    <x v="1"/>
  </r>
  <r>
    <s v="IN00112"/>
    <x v="16"/>
    <s v="INV-V005-50492"/>
    <s v="PO-926918"/>
    <d v="2026-02-19T00:00:00"/>
    <d v="2026-03-06T00:00:00"/>
    <n v="22596.68"/>
    <s v="INR"/>
    <s v="Approved"/>
    <s v="No"/>
    <s v="EDI"/>
    <s v="Unique"/>
    <x v="1"/>
    <n v="22596.68"/>
    <n v="0"/>
    <x v="1"/>
    <x v="1"/>
  </r>
  <r>
    <s v="IN00113"/>
    <x v="16"/>
    <s v="INV-V005-64460"/>
    <s v="PO-284171"/>
    <d v="2026-02-16T00:00:00"/>
    <d v="2026-03-03T00:00:00"/>
    <n v="22751.54"/>
    <s v="INR"/>
    <s v="Approved"/>
    <s v="No"/>
    <s v="Supplier Portal"/>
    <s v="Unique"/>
    <x v="2"/>
    <n v="0"/>
    <n v="22751.54"/>
    <x v="2"/>
    <x v="0"/>
  </r>
  <r>
    <s v="IN00114"/>
    <x v="4"/>
    <s v="INV-V017-43681"/>
    <s v="PO-964749"/>
    <d v="2026-09-14T00:00:00"/>
    <d v="2026-10-14T00:00:00"/>
    <n v="22847.56"/>
    <s v="INR"/>
    <s v="On Hold"/>
    <s v="No"/>
    <s v="Supplier Portal"/>
    <s v="Unique"/>
    <x v="1"/>
    <n v="22847.56"/>
    <n v="0"/>
    <x v="1"/>
    <x v="1"/>
  </r>
  <r>
    <s v="IN00115"/>
    <x v="2"/>
    <s v="INV-V011-39571"/>
    <s v="PO-809176"/>
    <d v="2026-02-28T00:00:00"/>
    <d v="2026-03-30T00:00:00"/>
    <n v="51395.3"/>
    <s v="INR"/>
    <s v="Modified"/>
    <s v="No"/>
    <s v="EDI"/>
    <s v="Unique"/>
    <x v="1"/>
    <n v="51395.3"/>
    <n v="0"/>
    <x v="1"/>
    <x v="1"/>
  </r>
  <r>
    <s v="IN00116"/>
    <x v="9"/>
    <s v="INV-V012-69609"/>
    <s v="PO-486490"/>
    <d v="2026-02-16T00:00:00"/>
    <d v="2026-04-02T00:00:00"/>
    <n v="43780.03"/>
    <s v="INR"/>
    <s v="Approved"/>
    <s v="No"/>
    <s v="EDI"/>
    <s v="Unique"/>
    <x v="1"/>
    <n v="43780.03"/>
    <n v="0"/>
    <x v="1"/>
    <x v="1"/>
  </r>
  <r>
    <s v="IN00117"/>
    <x v="5"/>
    <s v="INV-V013-13280"/>
    <s v="PO-749641"/>
    <d v="2026-07-10T00:00:00"/>
    <d v="2026-07-25T00:00:00"/>
    <n v="2815.65"/>
    <s v="INR"/>
    <s v="On Hold"/>
    <s v="No"/>
    <s v="EDI"/>
    <s v="Unique"/>
    <x v="1"/>
    <n v="2815.65"/>
    <n v="0"/>
    <x v="1"/>
    <x v="1"/>
  </r>
  <r>
    <s v="IN00118"/>
    <x v="1"/>
    <s v="INV-V008-49608"/>
    <s v="PO-780776"/>
    <d v="2026-02-02T00:00:00"/>
    <d v="2026-02-17T00:00:00"/>
    <n v="15928.85"/>
    <s v="INR"/>
    <s v="Approved"/>
    <s v="Yes"/>
    <s v="Email"/>
    <s v="Duplicate"/>
    <x v="0"/>
    <n v="0"/>
    <n v="15928.85"/>
    <x v="3"/>
    <x v="0"/>
  </r>
  <r>
    <s v="IN00119"/>
    <x v="18"/>
    <s v="INV-V010-80457"/>
    <s v="PO-242254"/>
    <d v="2026-09-10T00:00:00"/>
    <d v="2026-09-25T00:00:00"/>
    <n v="3009.08"/>
    <s v="INR"/>
    <s v="Approved"/>
    <s v="No"/>
    <s v="EDI"/>
    <s v="Unique"/>
    <x v="1"/>
    <n v="3009.08"/>
    <n v="0"/>
    <x v="1"/>
    <x v="1"/>
  </r>
  <r>
    <s v="IN00120"/>
    <x v="3"/>
    <s v="INV-V018-64379"/>
    <s v="PO-786735"/>
    <d v="2026-08-03T00:00:00"/>
    <d v="2026-09-02T00:00:00"/>
    <n v="14733.03"/>
    <s v="INR"/>
    <s v="Received"/>
    <s v="No"/>
    <s v="Supplier Portal"/>
    <s v="Unique"/>
    <x v="0"/>
    <n v="0"/>
    <n v="14733.03"/>
    <x v="0"/>
    <x v="0"/>
  </r>
  <r>
    <s v="IN00121"/>
    <x v="7"/>
    <s v="INV-V009-68287"/>
    <s v="PO-347582"/>
    <d v="2026-01-17T00:00:00"/>
    <d v="2026-02-16T00:00:00"/>
    <n v="17294.18"/>
    <s v="INR"/>
    <s v="On Hold"/>
    <s v="Yes"/>
    <s v="EDI"/>
    <s v="Unique"/>
    <x v="1"/>
    <n v="17294.18"/>
    <n v="0"/>
    <x v="1"/>
    <x v="1"/>
  </r>
  <r>
    <s v="IN00122"/>
    <x v="9"/>
    <s v="INV-V012-17936"/>
    <s v="PO-517479"/>
    <d v="2026-10-06T00:00:00"/>
    <d v="2026-11-20T00:00:00"/>
    <n v="22554.2"/>
    <s v="INR"/>
    <s v="Approved"/>
    <s v="No"/>
    <s v="Supplier Portal"/>
    <s v="Unique"/>
    <x v="4"/>
    <n v="0"/>
    <n v="22554.2"/>
    <x v="4"/>
    <x v="0"/>
  </r>
  <r>
    <s v="IN00123"/>
    <x v="14"/>
    <s v="INV-V003-12799"/>
    <s v="PO-153035"/>
    <d v="2026-04-19T00:00:00"/>
    <d v="2026-06-03T00:00:00"/>
    <n v="16085.61"/>
    <s v="INR"/>
    <s v="Modified"/>
    <s v="No"/>
    <s v="Email"/>
    <s v="Unique"/>
    <x v="1"/>
    <n v="16085.61"/>
    <n v="0"/>
    <x v="1"/>
    <x v="1"/>
  </r>
  <r>
    <s v="IN00124"/>
    <x v="19"/>
    <s v="INV-V019-37152"/>
    <s v="PO-714867"/>
    <d v="2026-04-16T00:00:00"/>
    <d v="2026-05-16T00:00:00"/>
    <n v="1827.02"/>
    <s v="INR"/>
    <s v="Approved"/>
    <s v="No"/>
    <s v="Supplier Portal"/>
    <s v="Unique"/>
    <x v="2"/>
    <n v="0"/>
    <n v="1827.02"/>
    <x v="2"/>
    <x v="0"/>
  </r>
  <r>
    <s v="IN00125"/>
    <x v="16"/>
    <s v="INV-V005-27038"/>
    <s v="PO-666456"/>
    <d v="2026-01-02T00:00:00"/>
    <d v="2026-01-17T00:00:00"/>
    <n v="7018.6"/>
    <s v="INR"/>
    <s v="Approved"/>
    <s v="No"/>
    <s v="EDI"/>
    <s v="Duplicate"/>
    <x v="4"/>
    <n v="0"/>
    <n v="7018.6"/>
    <x v="3"/>
    <x v="0"/>
  </r>
  <r>
    <s v="IN00126"/>
    <x v="10"/>
    <s v="INV-V001-41186"/>
    <s v="PO-717457"/>
    <d v="2026-03-09T00:00:00"/>
    <d v="2026-03-24T00:00:00"/>
    <n v="489.72"/>
    <s v="INR"/>
    <s v="Approved"/>
    <s v="No"/>
    <s v="Email"/>
    <s v="Unique"/>
    <x v="1"/>
    <n v="489.72"/>
    <n v="0"/>
    <x v="1"/>
    <x v="1"/>
  </r>
  <r>
    <s v="IN00127"/>
    <x v="16"/>
    <s v="INV-V005-72422"/>
    <s v="PO-570050"/>
    <d v="2026-08-04T00:00:00"/>
    <d v="2026-08-19T00:00:00"/>
    <n v="13209.01"/>
    <s v="INR"/>
    <s v="Modified"/>
    <s v="No"/>
    <s v="Email"/>
    <s v="Unique"/>
    <x v="1"/>
    <n v="13209.01"/>
    <n v="0"/>
    <x v="1"/>
    <x v="1"/>
  </r>
  <r>
    <s v="IN00128"/>
    <x v="15"/>
    <s v="INV-V015-96363"/>
    <s v="PO-646781"/>
    <d v="2026-09-15T00:00:00"/>
    <d v="2026-09-30T00:00:00"/>
    <n v="5632.16"/>
    <s v="INR"/>
    <s v="Approved"/>
    <s v="No"/>
    <s v="Email"/>
    <s v="Unique"/>
    <x v="1"/>
    <n v="5632.16"/>
    <n v="0"/>
    <x v="1"/>
    <x v="1"/>
  </r>
  <r>
    <s v="IN00129"/>
    <x v="13"/>
    <s v="INV-V002-24150"/>
    <s v="PO-614084"/>
    <d v="2026-09-03T00:00:00"/>
    <d v="2026-09-18T00:00:00"/>
    <n v="21200.79"/>
    <s v="INR"/>
    <s v="Modified"/>
    <s v="No"/>
    <s v="Email"/>
    <s v="Unique"/>
    <x v="1"/>
    <n v="21200.79"/>
    <n v="0"/>
    <x v="1"/>
    <x v="1"/>
  </r>
  <r>
    <s v="IN00130"/>
    <x v="2"/>
    <s v="INV-V011-92978"/>
    <s v="PO-713799"/>
    <d v="2026-03-17T00:00:00"/>
    <d v="2026-04-16T00:00:00"/>
    <n v="1754.17"/>
    <s v="INR"/>
    <s v="Approved"/>
    <s v="No"/>
    <s v="EDI"/>
    <s v="Unique"/>
    <x v="1"/>
    <n v="1754.17"/>
    <n v="0"/>
    <x v="1"/>
    <x v="1"/>
  </r>
  <r>
    <s v="IN00131"/>
    <x v="4"/>
    <s v="INV-V017-22999"/>
    <s v="PO-931621"/>
    <d v="2026-05-31T00:00:00"/>
    <d v="2026-06-30T00:00:00"/>
    <n v="11408.44"/>
    <s v="INR"/>
    <s v="Modified"/>
    <s v="No"/>
    <s v="EDI"/>
    <s v="Unique"/>
    <x v="0"/>
    <n v="0"/>
    <n v="11408.44"/>
    <x v="0"/>
    <x v="0"/>
  </r>
  <r>
    <s v="IN00132"/>
    <x v="3"/>
    <s v="INV-V018-64239"/>
    <s v="PO-455395"/>
    <d v="2026-04-21T00:00:00"/>
    <d v="2026-05-21T00:00:00"/>
    <n v="10820.14"/>
    <s v="INR"/>
    <s v="Modified"/>
    <s v="No"/>
    <s v="EDI"/>
    <s v="Unique"/>
    <x v="0"/>
    <n v="0"/>
    <n v="10820.14"/>
    <x v="0"/>
    <x v="0"/>
  </r>
  <r>
    <s v="IN00133"/>
    <x v="6"/>
    <s v="INV-V004-59060"/>
    <s v="PO-260053"/>
    <d v="2026-06-10T00:00:00"/>
    <d v="2026-07-10T00:00:00"/>
    <n v="10737.89"/>
    <s v="INR"/>
    <s v="Modified"/>
    <s v="No"/>
    <s v="Email"/>
    <s v="Unique"/>
    <x v="1"/>
    <n v="10737.89"/>
    <n v="0"/>
    <x v="1"/>
    <x v="1"/>
  </r>
  <r>
    <s v="IN00134"/>
    <x v="14"/>
    <s v="INV-V003-58843"/>
    <s v="PO-951201"/>
    <d v="2026-02-17T00:00:00"/>
    <d v="2026-04-03T00:00:00"/>
    <n v="10865.09"/>
    <s v="INR"/>
    <s v="Received"/>
    <s v="Yes"/>
    <s v="EDI"/>
    <s v="Unique"/>
    <x v="1"/>
    <n v="10865.09"/>
    <n v="0"/>
    <x v="1"/>
    <x v="1"/>
  </r>
  <r>
    <s v="IN00135"/>
    <x v="3"/>
    <s v="INV-V018-97207"/>
    <s v="PO-886730"/>
    <d v="2026-06-18T00:00:00"/>
    <d v="2026-07-18T00:00:00"/>
    <n v="16789.93"/>
    <s v="INR"/>
    <s v="Approved"/>
    <s v="No"/>
    <s v="Email"/>
    <s v="Unique"/>
    <x v="1"/>
    <n v="16789.93"/>
    <n v="0"/>
    <x v="1"/>
    <x v="1"/>
  </r>
  <r>
    <s v="IN00136"/>
    <x v="18"/>
    <s v="INV-V010-37884"/>
    <s v="PO-262246"/>
    <d v="2026-06-09T00:00:00"/>
    <d v="2026-06-24T00:00:00"/>
    <n v="8868.9599999999991"/>
    <s v="INR"/>
    <s v="Approved"/>
    <s v="No"/>
    <s v="Email"/>
    <s v="Unique"/>
    <x v="1"/>
    <n v="8868.9599999999991"/>
    <n v="0"/>
    <x v="1"/>
    <x v="1"/>
  </r>
  <r>
    <s v="IN00137"/>
    <x v="9"/>
    <s v="INV-V012-85248"/>
    <s v="PO-337144"/>
    <d v="2026-10-12T00:00:00"/>
    <d v="2026-11-26T00:00:00"/>
    <n v="9264.92"/>
    <s v="INR"/>
    <s v="Modified"/>
    <s v="No"/>
    <s v="EDI"/>
    <s v="Unique"/>
    <x v="1"/>
    <n v="9264.92"/>
    <n v="0"/>
    <x v="1"/>
    <x v="1"/>
  </r>
  <r>
    <s v="IN00138"/>
    <x v="17"/>
    <s v="INV-V020-45054"/>
    <s v="PO-130359"/>
    <d v="2026-10-13T00:00:00"/>
    <d v="2026-11-27T00:00:00"/>
    <n v="773.2"/>
    <s v="INR"/>
    <s v="Received"/>
    <s v="No"/>
    <s v="Supplier Portal"/>
    <s v="Unique"/>
    <x v="1"/>
    <n v="773.2"/>
    <n v="0"/>
    <x v="1"/>
    <x v="1"/>
  </r>
  <r>
    <s v="IN00139"/>
    <x v="2"/>
    <s v="INV-V011-84228"/>
    <s v="PO-789275"/>
    <d v="2026-06-29T00:00:00"/>
    <d v="2026-07-29T00:00:00"/>
    <n v="271.91000000000003"/>
    <s v="INR"/>
    <s v="Approved"/>
    <s v="No"/>
    <s v="EDI"/>
    <s v="Unique"/>
    <x v="1"/>
    <n v="271.91000000000003"/>
    <n v="0"/>
    <x v="1"/>
    <x v="1"/>
  </r>
  <r>
    <s v="IN00140"/>
    <x v="10"/>
    <s v="INV-V001-65028"/>
    <s v="PO-575682"/>
    <d v="2026-02-16T00:00:00"/>
    <d v="2026-03-03T00:00:00"/>
    <n v="18683.259999999998"/>
    <s v="INR"/>
    <s v="Approved"/>
    <s v="No"/>
    <s v="EDI"/>
    <s v="Unique"/>
    <x v="1"/>
    <n v="18683.259999999998"/>
    <n v="0"/>
    <x v="1"/>
    <x v="1"/>
  </r>
  <r>
    <s v="IN00141"/>
    <x v="2"/>
    <s v="INV-V011-90981"/>
    <s v="PO-152179"/>
    <d v="2026-02-13T00:00:00"/>
    <d v="2026-03-15T00:00:00"/>
    <n v="22097.55"/>
    <s v="INR"/>
    <s v="Approved"/>
    <s v="No"/>
    <s v="EDI"/>
    <s v="Unique"/>
    <x v="1"/>
    <n v="22097.55"/>
    <n v="0"/>
    <x v="1"/>
    <x v="1"/>
  </r>
  <r>
    <s v="IN00142"/>
    <x v="12"/>
    <s v="INV-V014-38255"/>
    <s v="PO-891615"/>
    <d v="2026-09-06T00:00:00"/>
    <d v="2026-10-21T00:00:00"/>
    <n v="15224.05"/>
    <s v="INR"/>
    <s v="Approved"/>
    <s v="No"/>
    <s v="Email"/>
    <s v="Unique"/>
    <x v="1"/>
    <n v="15224.05"/>
    <n v="0"/>
    <x v="1"/>
    <x v="1"/>
  </r>
  <r>
    <s v="IN00143"/>
    <x v="18"/>
    <s v="INV-V010-38903"/>
    <s v="PO-514463"/>
    <d v="2026-09-07T00:00:00"/>
    <d v="2026-09-22T00:00:00"/>
    <n v="13230.12"/>
    <s v="INR"/>
    <s v="On Hold"/>
    <s v="Yes"/>
    <s v="Email"/>
    <s v="Unique"/>
    <x v="2"/>
    <n v="0"/>
    <n v="13230.12"/>
    <x v="2"/>
    <x v="0"/>
  </r>
  <r>
    <s v="IN00144"/>
    <x v="18"/>
    <s v="INV-V010-47938"/>
    <s v="PO-444061"/>
    <d v="2026-04-19T00:00:00"/>
    <d v="2026-05-04T00:00:00"/>
    <n v="19211.66"/>
    <s v="INR"/>
    <s v="Received"/>
    <s v="No"/>
    <s v="Supplier Portal"/>
    <s v="Unique"/>
    <x v="1"/>
    <n v="19788.009999999998"/>
    <n v="-576.34999999999854"/>
    <x v="1"/>
    <x v="1"/>
  </r>
  <r>
    <s v="IN00145"/>
    <x v="0"/>
    <s v="INV-V006-75570"/>
    <s v="PO-685864"/>
    <d v="2026-03-08T00:00:00"/>
    <d v="2026-03-23T00:00:00"/>
    <n v="9579.56"/>
    <s v="INR"/>
    <s v="Modified"/>
    <s v="No"/>
    <s v="Email"/>
    <s v="Unique"/>
    <x v="1"/>
    <n v="9579.56"/>
    <n v="0"/>
    <x v="1"/>
    <x v="1"/>
  </r>
  <r>
    <s v="IN00146"/>
    <x v="5"/>
    <s v="INV-V013-20205"/>
    <s v="PO-428267"/>
    <d v="2026-01-22T00:00:00"/>
    <d v="2026-02-06T00:00:00"/>
    <n v="10973.14"/>
    <s v="INR"/>
    <s v="Approved"/>
    <s v="No"/>
    <s v="EDI"/>
    <s v="Unique"/>
    <x v="0"/>
    <n v="0"/>
    <n v="10973.14"/>
    <x v="0"/>
    <x v="0"/>
  </r>
  <r>
    <s v="IN00147"/>
    <x v="12"/>
    <s v="INV-V014-91018"/>
    <s v="PO-582446"/>
    <d v="2026-05-29T00:00:00"/>
    <d v="2026-07-13T00:00:00"/>
    <n v="36366.89"/>
    <s v="INR"/>
    <s v="Modified"/>
    <s v="No"/>
    <s v="Email"/>
    <s v="Unique"/>
    <x v="0"/>
    <n v="0"/>
    <n v="36366.89"/>
    <x v="0"/>
    <x v="0"/>
  </r>
  <r>
    <s v="IN00148"/>
    <x v="12"/>
    <s v="INV-V014-78676"/>
    <s v="PO-182467"/>
    <d v="2026-02-24T00:00:00"/>
    <d v="2026-04-10T00:00:00"/>
    <n v="6173.71"/>
    <s v="INR"/>
    <s v="Approved"/>
    <s v="No"/>
    <s v="Supplier Portal"/>
    <s v="Unique"/>
    <x v="1"/>
    <n v="6173.71"/>
    <n v="0"/>
    <x v="1"/>
    <x v="1"/>
  </r>
  <r>
    <s v="IN00149"/>
    <x v="1"/>
    <s v="INV-V008-79547"/>
    <s v="PO-634723"/>
    <d v="2026-06-20T00:00:00"/>
    <d v="2026-07-05T00:00:00"/>
    <n v="47162.86"/>
    <s v="INR"/>
    <s v="Received"/>
    <s v="No"/>
    <s v="Supplier Portal"/>
    <s v="Unique"/>
    <x v="1"/>
    <n v="50935.89"/>
    <n v="-3773.0299999999988"/>
    <x v="1"/>
    <x v="1"/>
  </r>
  <r>
    <s v="IN00150"/>
    <x v="16"/>
    <s v="INV-V005-32740"/>
    <s v="PO-731661"/>
    <d v="2026-05-01T00:00:00"/>
    <d v="2026-05-16T00:00:00"/>
    <n v="2677.78"/>
    <s v="INR"/>
    <s v="Received"/>
    <s v="No"/>
    <s v="Email"/>
    <s v="Unique"/>
    <x v="1"/>
    <n v="2677.78"/>
    <n v="0"/>
    <x v="1"/>
    <x v="1"/>
  </r>
  <r>
    <s v="IN00151"/>
    <x v="0"/>
    <s v="INV-V006-85952"/>
    <s v="PO-570711"/>
    <d v="2026-09-10T00:00:00"/>
    <d v="2026-09-25T00:00:00"/>
    <n v="11663.15"/>
    <s v="INR"/>
    <s v="Modified"/>
    <s v="No"/>
    <s v="EDI"/>
    <s v="Unique"/>
    <x v="1"/>
    <n v="11663.15"/>
    <n v="0"/>
    <x v="1"/>
    <x v="1"/>
  </r>
  <r>
    <s v="IN00152"/>
    <x v="17"/>
    <s v="INV-V020-29786"/>
    <s v="PO-561124"/>
    <d v="2026-06-15T00:00:00"/>
    <d v="2026-07-30T00:00:00"/>
    <n v="21622.46"/>
    <s v="INR"/>
    <s v="Received"/>
    <s v="No"/>
    <s v="Supplier Portal"/>
    <s v="Unique"/>
    <x v="1"/>
    <n v="21622.46"/>
    <n v="0"/>
    <x v="1"/>
    <x v="1"/>
  </r>
  <r>
    <s v="IN00153"/>
    <x v="7"/>
    <s v="INV-V009-14929"/>
    <s v="PO-159653"/>
    <d v="2026-01-29T00:00:00"/>
    <d v="2026-02-28T00:00:00"/>
    <n v="41160.99"/>
    <s v="INR"/>
    <s v="Approved"/>
    <s v="No"/>
    <s v="EDI"/>
    <s v="Unique"/>
    <x v="1"/>
    <n v="41160.99"/>
    <n v="0"/>
    <x v="1"/>
    <x v="1"/>
  </r>
  <r>
    <s v="IN00154"/>
    <x v="14"/>
    <s v="INV-V003-15376"/>
    <s v="PO-571579"/>
    <d v="2026-09-17T00:00:00"/>
    <d v="2026-11-01T00:00:00"/>
    <n v="9685.92"/>
    <s v="INR"/>
    <s v="On Hold"/>
    <s v="No"/>
    <s v="Email"/>
    <s v="Unique"/>
    <x v="1"/>
    <n v="9685.92"/>
    <n v="0"/>
    <x v="1"/>
    <x v="1"/>
  </r>
  <r>
    <s v="IN00155"/>
    <x v="2"/>
    <s v="INV-V011-69050"/>
    <s v="PO-208529"/>
    <d v="2026-09-01T00:00:00"/>
    <d v="2026-10-01T00:00:00"/>
    <n v="12594.02"/>
    <s v="INR"/>
    <s v="Modified"/>
    <s v="No"/>
    <s v="EDI"/>
    <s v="Unique"/>
    <x v="2"/>
    <n v="0"/>
    <n v="12594.02"/>
    <x v="2"/>
    <x v="0"/>
  </r>
  <r>
    <s v="IN00156"/>
    <x v="14"/>
    <s v="INV-V003-67595"/>
    <s v="PO-649525"/>
    <d v="2026-09-16T00:00:00"/>
    <d v="2026-10-31T00:00:00"/>
    <n v="49766.76"/>
    <s v="INR"/>
    <s v="Approved"/>
    <s v="No"/>
    <s v="Supplier Portal"/>
    <s v="Unique"/>
    <x v="1"/>
    <n v="49766.76"/>
    <n v="0"/>
    <x v="1"/>
    <x v="1"/>
  </r>
  <r>
    <s v="IN00157"/>
    <x v="18"/>
    <s v="INV-V010-88366"/>
    <s v="PO-154909"/>
    <d v="2026-07-18T00:00:00"/>
    <d v="2026-08-02T00:00:00"/>
    <n v="10290.18"/>
    <s v="INR"/>
    <s v="Modified"/>
    <s v="No"/>
    <s v="Email"/>
    <s v="Unique"/>
    <x v="1"/>
    <n v="10290.18"/>
    <n v="0"/>
    <x v="1"/>
    <x v="1"/>
  </r>
  <r>
    <s v="IN00158"/>
    <x v="2"/>
    <s v="INV-V011-43029"/>
    <s v="PO-858889"/>
    <d v="2026-02-18T00:00:00"/>
    <d v="2026-03-20T00:00:00"/>
    <n v="14002.12"/>
    <s v="INR"/>
    <s v="On Hold"/>
    <s v="No"/>
    <s v="EDI"/>
    <s v="Unique"/>
    <x v="2"/>
    <n v="0"/>
    <n v="14002.12"/>
    <x v="2"/>
    <x v="0"/>
  </r>
  <r>
    <s v="IN00159"/>
    <x v="16"/>
    <s v="INV-V005-55851"/>
    <s v="PO-425301"/>
    <d v="2026-06-20T00:00:00"/>
    <d v="2026-07-05T00:00:00"/>
    <n v="2147.77"/>
    <s v="INR"/>
    <s v="On Hold"/>
    <s v="No"/>
    <s v="Supplier Portal"/>
    <s v="Unique"/>
    <x v="1"/>
    <n v="2147.77"/>
    <n v="0"/>
    <x v="1"/>
    <x v="1"/>
  </r>
  <r>
    <s v="IN00160"/>
    <x v="16"/>
    <s v="INV-V005-53054"/>
    <s v="PO-952686"/>
    <d v="2026-02-13T00:00:00"/>
    <d v="2026-02-28T00:00:00"/>
    <n v="7822.4"/>
    <s v="INR"/>
    <s v="Received"/>
    <s v="No"/>
    <s v="EDI"/>
    <s v="Unique"/>
    <x v="1"/>
    <n v="7822.4"/>
    <n v="0"/>
    <x v="1"/>
    <x v="1"/>
  </r>
  <r>
    <s v="IN00161"/>
    <x v="4"/>
    <s v="INV-V017-57425"/>
    <s v="PO-119116"/>
    <d v="2026-02-17T00:00:00"/>
    <d v="2026-03-19T00:00:00"/>
    <n v="16193.1"/>
    <s v="INR"/>
    <s v="Approved"/>
    <s v="No"/>
    <s v="Email"/>
    <s v="Unique"/>
    <x v="1"/>
    <n v="16193.1"/>
    <n v="0"/>
    <x v="1"/>
    <x v="1"/>
  </r>
  <r>
    <s v="IN00162"/>
    <x v="2"/>
    <s v="INV-V011-30308"/>
    <s v="PO-180913"/>
    <d v="2026-09-06T00:00:00"/>
    <d v="2026-10-06T00:00:00"/>
    <n v="4897.09"/>
    <s v="INR"/>
    <s v="Approved"/>
    <s v="No"/>
    <s v="EDI"/>
    <s v="Unique"/>
    <x v="1"/>
    <n v="4897.09"/>
    <n v="0"/>
    <x v="1"/>
    <x v="1"/>
  </r>
  <r>
    <s v="IN00163"/>
    <x v="3"/>
    <s v="INV-V018-91006"/>
    <s v="PO-237414"/>
    <d v="2026-09-27T00:00:00"/>
    <d v="2026-10-27T00:00:00"/>
    <n v="1059.1600000000001"/>
    <s v="INR"/>
    <s v="Approved"/>
    <s v="No"/>
    <s v="Email"/>
    <s v="Unique"/>
    <x v="1"/>
    <n v="1059.1600000000001"/>
    <n v="0"/>
    <x v="1"/>
    <x v="1"/>
  </r>
  <r>
    <s v="IN00164"/>
    <x v="17"/>
    <s v="INV-V020-41133"/>
    <s v="PO-565776"/>
    <d v="2026-03-26T00:00:00"/>
    <d v="2026-05-10T00:00:00"/>
    <n v="37750.480000000003"/>
    <s v="INR"/>
    <s v="Approved"/>
    <s v="No"/>
    <s v="Supplier Portal"/>
    <s v="Unique"/>
    <x v="1"/>
    <n v="37750.480000000003"/>
    <n v="0"/>
    <x v="1"/>
    <x v="1"/>
  </r>
  <r>
    <s v="IN00165"/>
    <x v="1"/>
    <s v="INV-V008-71474"/>
    <s v="PO-975679"/>
    <d v="2026-10-01T00:00:00"/>
    <d v="2026-10-16T00:00:00"/>
    <n v="6070.51"/>
    <s v="INR"/>
    <s v="Received"/>
    <s v="No"/>
    <s v="EDI"/>
    <s v="Unique"/>
    <x v="1"/>
    <n v="6070.51"/>
    <n v="0"/>
    <x v="1"/>
    <x v="1"/>
  </r>
  <r>
    <s v="IN00166"/>
    <x v="15"/>
    <s v="INV-V015-75916"/>
    <s v="PO-653081"/>
    <d v="2026-08-25T00:00:00"/>
    <d v="2026-09-09T00:00:00"/>
    <n v="19263.63"/>
    <s v="INR"/>
    <s v="Approved"/>
    <s v="No"/>
    <s v="Email"/>
    <s v="Unique"/>
    <x v="1"/>
    <n v="19263.63"/>
    <n v="0"/>
    <x v="1"/>
    <x v="1"/>
  </r>
  <r>
    <s v="IN00167"/>
    <x v="17"/>
    <s v="INV-V020-58655"/>
    <s v="PO-681478"/>
    <d v="2026-03-12T00:00:00"/>
    <d v="2026-04-26T00:00:00"/>
    <n v="41820.67"/>
    <s v="INR"/>
    <s v="On Hold"/>
    <s v="No"/>
    <s v="EDI"/>
    <s v="Unique"/>
    <x v="4"/>
    <n v="0"/>
    <n v="41820.67"/>
    <x v="4"/>
    <x v="0"/>
  </r>
  <r>
    <s v="IN00168"/>
    <x v="6"/>
    <s v="INV-V004-68893"/>
    <s v="PO-638289"/>
    <d v="2026-05-26T00:00:00"/>
    <d v="2026-06-25T00:00:00"/>
    <n v="2206.81"/>
    <s v="INR"/>
    <s v="Received"/>
    <s v="No"/>
    <s v="Email"/>
    <s v="Unique"/>
    <x v="4"/>
    <n v="0"/>
    <n v="2206.81"/>
    <x v="4"/>
    <x v="0"/>
  </r>
  <r>
    <s v="IN00169"/>
    <x v="15"/>
    <s v="INV-V015-61964"/>
    <s v="PO-626392"/>
    <d v="2026-06-28T00:00:00"/>
    <d v="2026-07-13T00:00:00"/>
    <n v="23270.14"/>
    <s v="INR"/>
    <s v="Approved"/>
    <s v="No"/>
    <s v="Email"/>
    <s v="Unique"/>
    <x v="1"/>
    <n v="23270.14"/>
    <n v="0"/>
    <x v="1"/>
    <x v="1"/>
  </r>
  <r>
    <s v="IN00170"/>
    <x v="9"/>
    <s v="INV-V012-95191"/>
    <s v="PO-451577"/>
    <d v="2026-04-25T00:00:00"/>
    <d v="2026-06-09T00:00:00"/>
    <n v="821.31"/>
    <s v="INR"/>
    <s v="Modified"/>
    <s v="Yes"/>
    <s v="Supplier Portal"/>
    <s v="Duplicate"/>
    <x v="2"/>
    <n v="0"/>
    <n v="821.31"/>
    <x v="3"/>
    <x v="0"/>
  </r>
  <r>
    <s v="IN00171"/>
    <x v="11"/>
    <s v="INV-V016-90654"/>
    <s v="PO-105506"/>
    <d v="2026-03-13T00:00:00"/>
    <d v="2026-03-28T00:00:00"/>
    <n v="18999.97"/>
    <s v="INR"/>
    <s v="On Hold"/>
    <s v="Yes"/>
    <s v="Email"/>
    <s v="Unique"/>
    <x v="1"/>
    <n v="18999.97"/>
    <n v="0"/>
    <x v="1"/>
    <x v="1"/>
  </r>
  <r>
    <s v="IN00172"/>
    <x v="16"/>
    <s v="INV-V005-65476"/>
    <s v="PO-216587"/>
    <d v="2026-10-08T00:00:00"/>
    <d v="2026-10-23T00:00:00"/>
    <n v="23512.82"/>
    <s v="INR"/>
    <s v="Modified"/>
    <s v="No"/>
    <s v="Email"/>
    <s v="Unique"/>
    <x v="0"/>
    <n v="0"/>
    <n v="23512.82"/>
    <x v="0"/>
    <x v="0"/>
  </r>
  <r>
    <s v="IN00173"/>
    <x v="13"/>
    <s v="INV-V002-69914"/>
    <s v="PO-165858"/>
    <d v="2026-05-03T00:00:00"/>
    <d v="2026-05-18T00:00:00"/>
    <n v="10565.26"/>
    <s v="INR"/>
    <s v="Received"/>
    <s v="No"/>
    <s v="EDI"/>
    <s v="Unique"/>
    <x v="1"/>
    <n v="10565.26"/>
    <n v="0"/>
    <x v="1"/>
    <x v="1"/>
  </r>
  <r>
    <s v="IN00174"/>
    <x v="3"/>
    <s v="INV-V018-28818"/>
    <s v="PO-405420"/>
    <d v="2026-01-09T00:00:00"/>
    <d v="2026-02-08T00:00:00"/>
    <n v="15843.04"/>
    <s v="INR"/>
    <s v="Approved"/>
    <s v="No"/>
    <s v="Email"/>
    <s v="Unique"/>
    <x v="2"/>
    <n v="0"/>
    <n v="15843.04"/>
    <x v="2"/>
    <x v="0"/>
  </r>
  <r>
    <s v="IN00175"/>
    <x v="19"/>
    <s v="INV-V019-78614"/>
    <s v="PO-478120"/>
    <d v="2026-08-02T00:00:00"/>
    <d v="2026-09-01T00:00:00"/>
    <n v="4780.37"/>
    <s v="INR"/>
    <s v="Received"/>
    <s v="No"/>
    <s v="EDI"/>
    <s v="Unique"/>
    <x v="0"/>
    <n v="0"/>
    <n v="4780.37"/>
    <x v="0"/>
    <x v="0"/>
  </r>
  <r>
    <s v="IN00176"/>
    <x v="4"/>
    <s v="INV-V017-15706"/>
    <s v="PO-766549"/>
    <d v="2026-10-11T00:00:00"/>
    <d v="2026-11-10T00:00:00"/>
    <n v="625.91999999999996"/>
    <s v="INR"/>
    <s v="Approved"/>
    <s v="No"/>
    <s v="EDI"/>
    <s v="Unique"/>
    <x v="1"/>
    <n v="625.91999999999996"/>
    <n v="0"/>
    <x v="1"/>
    <x v="1"/>
  </r>
  <r>
    <s v="IN00177"/>
    <x v="10"/>
    <s v="INV-V001-96127"/>
    <s v="PO-758775"/>
    <d v="2026-07-02T00:00:00"/>
    <d v="2026-07-17T00:00:00"/>
    <n v="19738.38"/>
    <s v="INR"/>
    <s v="Received"/>
    <s v="No"/>
    <s v="Supplier Portal"/>
    <s v="Unique"/>
    <x v="1"/>
    <n v="19738.38"/>
    <n v="0"/>
    <x v="1"/>
    <x v="1"/>
  </r>
  <r>
    <s v="IN00178"/>
    <x v="16"/>
    <s v="INV-V005-94252"/>
    <s v="PO-283594"/>
    <d v="2026-01-23T00:00:00"/>
    <d v="2026-02-07T00:00:00"/>
    <n v="8885.2000000000007"/>
    <s v="INR"/>
    <s v="Modified"/>
    <s v="No"/>
    <s v="EDI"/>
    <s v="Unique"/>
    <x v="1"/>
    <n v="8885.2000000000007"/>
    <n v="0"/>
    <x v="1"/>
    <x v="1"/>
  </r>
  <r>
    <s v="IN00179"/>
    <x v="11"/>
    <s v="INV-V016-69988"/>
    <s v="PO-138780"/>
    <d v="2026-04-04T00:00:00"/>
    <d v="2026-04-19T00:00:00"/>
    <n v="52166.66"/>
    <s v="INR"/>
    <s v="Approved"/>
    <s v="Yes"/>
    <s v="Email"/>
    <s v="Unique"/>
    <x v="1"/>
    <n v="52166.66"/>
    <n v="0"/>
    <x v="1"/>
    <x v="1"/>
  </r>
  <r>
    <s v="IN00180"/>
    <x v="13"/>
    <s v="INV-V002-81176"/>
    <s v="PO-596395"/>
    <d v="2026-06-11T00:00:00"/>
    <d v="2026-06-26T00:00:00"/>
    <n v="23342.27"/>
    <s v="INR"/>
    <s v="Approved"/>
    <s v="No"/>
    <s v="Email"/>
    <s v="Unique"/>
    <x v="0"/>
    <n v="0"/>
    <n v="23342.27"/>
    <x v="0"/>
    <x v="0"/>
  </r>
  <r>
    <s v="IN00181"/>
    <x v="18"/>
    <s v="INV-V010-45811"/>
    <s v="PO-230521"/>
    <d v="2026-07-02T00:00:00"/>
    <d v="2026-07-17T00:00:00"/>
    <n v="47950.6"/>
    <s v="INR"/>
    <s v="Modified"/>
    <s v="No"/>
    <s v="Supplier Portal"/>
    <s v="Unique"/>
    <x v="1"/>
    <n v="47950.6"/>
    <n v="0"/>
    <x v="1"/>
    <x v="1"/>
  </r>
  <r>
    <s v="IN00182"/>
    <x v="15"/>
    <s v="INV-V015-75211"/>
    <s v="PO-485191"/>
    <d v="2026-07-17T00:00:00"/>
    <d v="2026-08-01T00:00:00"/>
    <n v="8555.23"/>
    <s v="INR"/>
    <s v="On Hold"/>
    <s v="No"/>
    <s v="Email"/>
    <s v="Unique"/>
    <x v="2"/>
    <n v="0"/>
    <n v="8555.23"/>
    <x v="2"/>
    <x v="0"/>
  </r>
  <r>
    <s v="IN00183"/>
    <x v="12"/>
    <s v="INV-V014-33652"/>
    <s v="PO-671971"/>
    <d v="2026-02-10T00:00:00"/>
    <d v="2026-03-27T00:00:00"/>
    <n v="10833.51"/>
    <s v="INR"/>
    <s v="Approved"/>
    <s v="Yes"/>
    <s v="Supplier Portal"/>
    <s v="Unique"/>
    <x v="1"/>
    <n v="10833.51"/>
    <n v="0"/>
    <x v="1"/>
    <x v="1"/>
  </r>
  <r>
    <s v="IN00184"/>
    <x v="18"/>
    <s v="INV-V010-31842"/>
    <s v="PO-823270"/>
    <d v="2026-06-06T00:00:00"/>
    <d v="2026-06-21T00:00:00"/>
    <n v="11214.38"/>
    <s v="INR"/>
    <s v="Approved"/>
    <s v="No"/>
    <s v="EDI"/>
    <s v="Unique"/>
    <x v="1"/>
    <n v="11214.38"/>
    <n v="0"/>
    <x v="1"/>
    <x v="1"/>
  </r>
  <r>
    <s v="IN00185"/>
    <x v="9"/>
    <s v="INV-V012-17518"/>
    <s v="PO-178686"/>
    <d v="2026-08-11T00:00:00"/>
    <d v="2026-09-25T00:00:00"/>
    <n v="6950.94"/>
    <s v="INR"/>
    <s v="Approved"/>
    <s v="No"/>
    <s v="EDI"/>
    <s v="Unique"/>
    <x v="1"/>
    <n v="6950.94"/>
    <n v="0"/>
    <x v="1"/>
    <x v="1"/>
  </r>
  <r>
    <s v="IN00186"/>
    <x v="0"/>
    <s v="INV-V006-67432"/>
    <s v="PO-136489"/>
    <d v="2026-01-16T00:00:00"/>
    <d v="2026-01-31T00:00:00"/>
    <n v="3672.35"/>
    <s v="INR"/>
    <s v="Received"/>
    <s v="No"/>
    <s v="EDI"/>
    <s v="Unique"/>
    <x v="1"/>
    <n v="3672.35"/>
    <n v="0"/>
    <x v="1"/>
    <x v="1"/>
  </r>
  <r>
    <s v="IN00187"/>
    <x v="9"/>
    <s v="INV-V012-89310"/>
    <s v="PO-260891"/>
    <d v="2026-07-05T00:00:00"/>
    <d v="2026-08-19T00:00:00"/>
    <n v="9645.42"/>
    <s v="INR"/>
    <s v="Approved"/>
    <s v="No"/>
    <s v="Supplier Portal"/>
    <s v="Unique"/>
    <x v="0"/>
    <n v="0"/>
    <n v="9645.42"/>
    <x v="0"/>
    <x v="0"/>
  </r>
  <r>
    <s v="IN00188"/>
    <x v="15"/>
    <s v="INV-V015-62171"/>
    <s v="PO-429657"/>
    <d v="2026-02-09T00:00:00"/>
    <d v="2026-02-24T00:00:00"/>
    <n v="14399.17"/>
    <s v="INR"/>
    <s v="Approved"/>
    <s v="No"/>
    <s v="Email"/>
    <s v="Unique"/>
    <x v="1"/>
    <n v="15551.1"/>
    <n v="-1151.9300000000003"/>
    <x v="1"/>
    <x v="1"/>
  </r>
  <r>
    <s v="IN00189"/>
    <x v="10"/>
    <s v="INV-V001-83619"/>
    <s v="PO-223481"/>
    <d v="2026-04-06T00:00:00"/>
    <d v="2026-04-21T00:00:00"/>
    <n v="12536.21"/>
    <s v="INR"/>
    <s v="Approved"/>
    <s v="No"/>
    <s v="Supplier Portal"/>
    <s v="Unique"/>
    <x v="1"/>
    <n v="12536.21"/>
    <n v="0"/>
    <x v="1"/>
    <x v="1"/>
  </r>
  <r>
    <s v="IN00190"/>
    <x v="8"/>
    <s v="INV-V007-36237"/>
    <s v="PO-228594"/>
    <d v="2026-05-27T00:00:00"/>
    <d v="2026-06-26T00:00:00"/>
    <n v="17386.240000000002"/>
    <s v="INR"/>
    <s v="Received"/>
    <s v="Yes"/>
    <s v="Email"/>
    <s v="Unique"/>
    <x v="0"/>
    <n v="0"/>
    <n v="17386.240000000002"/>
    <x v="0"/>
    <x v="0"/>
  </r>
  <r>
    <s v="IN00191"/>
    <x v="15"/>
    <s v="INV-V015-51889"/>
    <s v="PO-800280"/>
    <d v="2026-02-14T00:00:00"/>
    <d v="2026-03-01T00:00:00"/>
    <n v="20285.57"/>
    <s v="INR"/>
    <s v="Approved"/>
    <s v="Yes"/>
    <s v="EDI"/>
    <s v="Unique"/>
    <x v="2"/>
    <n v="0"/>
    <n v="20285.57"/>
    <x v="2"/>
    <x v="0"/>
  </r>
  <r>
    <s v="IN00192"/>
    <x v="18"/>
    <s v="INV-V010-93584"/>
    <s v="PO-282547"/>
    <d v="2026-06-03T00:00:00"/>
    <d v="2026-06-18T00:00:00"/>
    <n v="21301.89"/>
    <s v="INR"/>
    <s v="Modified"/>
    <s v="No"/>
    <s v="Email"/>
    <s v="Unique"/>
    <x v="2"/>
    <n v="0"/>
    <n v="21301.89"/>
    <x v="2"/>
    <x v="0"/>
  </r>
  <r>
    <s v="IN00193"/>
    <x v="8"/>
    <s v="INV-V007-57303"/>
    <s v="PO-680933"/>
    <d v="2026-03-13T00:00:00"/>
    <d v="2026-04-12T00:00:00"/>
    <n v="6010"/>
    <s v="INR"/>
    <s v="Approved"/>
    <s v="No"/>
    <s v="EDI"/>
    <s v="Unique"/>
    <x v="0"/>
    <n v="0"/>
    <n v="6010"/>
    <x v="0"/>
    <x v="0"/>
  </r>
  <r>
    <s v="IN00194"/>
    <x v="16"/>
    <s v="INV-V005-72739"/>
    <s v="PO-651231"/>
    <d v="2026-02-14T00:00:00"/>
    <d v="2026-03-01T00:00:00"/>
    <n v="1755.81"/>
    <s v="INR"/>
    <s v="Approved"/>
    <s v="No"/>
    <s v="EDI"/>
    <s v="Unique"/>
    <x v="0"/>
    <n v="0"/>
    <n v="1755.81"/>
    <x v="0"/>
    <x v="0"/>
  </r>
  <r>
    <s v="IN00195"/>
    <x v="14"/>
    <s v="INV-V003-68979"/>
    <s v="PO-588461"/>
    <d v="2026-03-06T00:00:00"/>
    <d v="2026-04-20T00:00:00"/>
    <n v="24312.81"/>
    <s v="INR"/>
    <s v="Modified"/>
    <s v="No"/>
    <s v="EDI"/>
    <s v="Unique"/>
    <x v="1"/>
    <n v="24312.81"/>
    <n v="0"/>
    <x v="1"/>
    <x v="1"/>
  </r>
  <r>
    <s v="IN00196"/>
    <x v="19"/>
    <s v="INV-V019-75911"/>
    <s v="PO-158104"/>
    <d v="2026-04-04T00:00:00"/>
    <d v="2026-05-04T00:00:00"/>
    <n v="19222.41"/>
    <s v="INR"/>
    <s v="Modified"/>
    <s v="No"/>
    <s v="Supplier Portal"/>
    <s v="Unique"/>
    <x v="0"/>
    <n v="0"/>
    <n v="19222.41"/>
    <x v="0"/>
    <x v="0"/>
  </r>
  <r>
    <s v="IN00197"/>
    <x v="0"/>
    <s v="INV-V006-55353"/>
    <s v="PO-644103"/>
    <d v="2026-03-24T00:00:00"/>
    <d v="2026-04-08T00:00:00"/>
    <n v="8147.8"/>
    <s v="INR"/>
    <s v="On Hold"/>
    <s v="No"/>
    <s v="Supplier Portal"/>
    <s v="Unique"/>
    <x v="1"/>
    <n v="8147.8"/>
    <n v="0"/>
    <x v="1"/>
    <x v="1"/>
  </r>
  <r>
    <s v="IN00198"/>
    <x v="8"/>
    <s v="INV-V007-90534"/>
    <s v="PO-659392"/>
    <d v="2026-10-10T00:00:00"/>
    <d v="2026-11-09T00:00:00"/>
    <n v="6948.34"/>
    <s v="INR"/>
    <s v="Received"/>
    <s v="No"/>
    <s v="EDI"/>
    <s v="Unique"/>
    <x v="0"/>
    <n v="0"/>
    <n v="6948.34"/>
    <x v="0"/>
    <x v="0"/>
  </r>
  <r>
    <s v="IN00199"/>
    <x v="19"/>
    <s v="INV-V019-89316"/>
    <s v="PO-454019"/>
    <d v="2026-03-20T00:00:00"/>
    <d v="2026-04-19T00:00:00"/>
    <n v="4379.47"/>
    <s v="INR"/>
    <s v="Modified"/>
    <s v="No"/>
    <s v="Email"/>
    <s v="Unique"/>
    <x v="1"/>
    <n v="4379.47"/>
    <n v="0"/>
    <x v="1"/>
    <x v="1"/>
  </r>
  <r>
    <s v="IN00200"/>
    <x v="14"/>
    <s v="INV-V003-44688"/>
    <s v="PO-782759"/>
    <d v="2026-01-24T00:00:00"/>
    <d v="2026-03-10T00:00:00"/>
    <n v="23719.85"/>
    <s v="INR"/>
    <s v="Approved"/>
    <s v="No"/>
    <s v="EDI"/>
    <s v="Unique"/>
    <x v="1"/>
    <n v="23719.85"/>
    <n v="0"/>
    <x v="1"/>
    <x v="1"/>
  </r>
  <r>
    <s v="IN00201"/>
    <x v="10"/>
    <s v="INV-V001-94136"/>
    <s v="PO-416768"/>
    <d v="2026-09-12T00:00:00"/>
    <d v="2026-09-27T00:00:00"/>
    <n v="22238.240000000002"/>
    <s v="INR"/>
    <s v="Approved"/>
    <s v="No"/>
    <s v="EDI"/>
    <s v="Unique"/>
    <x v="1"/>
    <n v="22238.240000000002"/>
    <n v="0"/>
    <x v="1"/>
    <x v="1"/>
  </r>
  <r>
    <s v="IN00202"/>
    <x v="5"/>
    <s v="INV-V013-30719"/>
    <s v="PO-560959"/>
    <d v="2026-06-02T00:00:00"/>
    <d v="2026-06-17T00:00:00"/>
    <n v="11404.18"/>
    <s v="INR"/>
    <s v="Approved"/>
    <s v="No"/>
    <s v="Supplier Portal"/>
    <s v="Unique"/>
    <x v="1"/>
    <n v="11404.18"/>
    <n v="0"/>
    <x v="1"/>
    <x v="1"/>
  </r>
  <r>
    <s v="IN00203"/>
    <x v="17"/>
    <s v="INV-V020-55268"/>
    <s v="PO-518084"/>
    <d v="2026-03-15T00:00:00"/>
    <d v="2026-04-29T00:00:00"/>
    <n v="7897.05"/>
    <s v="INR"/>
    <s v="Received"/>
    <s v="No"/>
    <s v="EDI"/>
    <s v="Unique"/>
    <x v="1"/>
    <n v="8528.81"/>
    <n v="-631.75999999999931"/>
    <x v="1"/>
    <x v="1"/>
  </r>
  <r>
    <s v="IN00204"/>
    <x v="6"/>
    <s v="INV-V004-68929"/>
    <s v="PO-359961"/>
    <d v="2026-06-13T00:00:00"/>
    <d v="2026-07-13T00:00:00"/>
    <n v="6134.44"/>
    <s v="INR"/>
    <s v="Received"/>
    <s v="Yes"/>
    <s v="Supplier Portal"/>
    <s v="Unique"/>
    <x v="1"/>
    <n v="6134.44"/>
    <n v="0"/>
    <x v="1"/>
    <x v="1"/>
  </r>
  <r>
    <s v="IN00205"/>
    <x v="17"/>
    <s v="INV-V020-30932"/>
    <s v="PO-952993"/>
    <d v="2026-08-03T00:00:00"/>
    <d v="2026-09-17T00:00:00"/>
    <n v="6296.96"/>
    <s v="INR"/>
    <s v="Approved"/>
    <s v="No"/>
    <s v="Supplier Portal"/>
    <s v="Unique"/>
    <x v="1"/>
    <n v="6296.96"/>
    <n v="0"/>
    <x v="1"/>
    <x v="1"/>
  </r>
  <r>
    <s v="IN00206"/>
    <x v="8"/>
    <s v="INV-V007-75373"/>
    <s v="PO-423528"/>
    <d v="2026-03-23T00:00:00"/>
    <d v="2026-04-22T00:00:00"/>
    <n v="12516.85"/>
    <s v="INR"/>
    <s v="Approved"/>
    <s v="Yes"/>
    <s v="Supplier Portal"/>
    <s v="Unique"/>
    <x v="1"/>
    <n v="12516.85"/>
    <n v="0"/>
    <x v="1"/>
    <x v="1"/>
  </r>
  <r>
    <s v="IN00207"/>
    <x v="4"/>
    <s v="INV-V017-56254"/>
    <s v="PO-151021"/>
    <d v="2026-08-23T00:00:00"/>
    <d v="2026-09-22T00:00:00"/>
    <n v="24171.16"/>
    <s v="INR"/>
    <s v="Received"/>
    <s v="No"/>
    <s v="EDI"/>
    <s v="Unique"/>
    <x v="1"/>
    <n v="24171.16"/>
    <n v="0"/>
    <x v="1"/>
    <x v="1"/>
  </r>
  <r>
    <s v="IN00208"/>
    <x v="11"/>
    <s v="INV-V016-66482"/>
    <s v="PO-240440"/>
    <d v="2026-05-27T00:00:00"/>
    <d v="2026-06-11T00:00:00"/>
    <n v="13472.87"/>
    <s v="INR"/>
    <s v="On Hold"/>
    <s v="No"/>
    <s v="Supplier Portal"/>
    <s v="Unique"/>
    <x v="1"/>
    <n v="13472.87"/>
    <n v="0"/>
    <x v="1"/>
    <x v="1"/>
  </r>
  <r>
    <s v="IN00209"/>
    <x v="9"/>
    <s v="INV-V012-35513"/>
    <s v="PO-480133"/>
    <d v="2026-01-24T00:00:00"/>
    <d v="2026-03-10T00:00:00"/>
    <n v="10086.469999999999"/>
    <s v="INR"/>
    <s v="Approved"/>
    <s v="Yes"/>
    <s v="EDI"/>
    <s v="Unique"/>
    <x v="1"/>
    <n v="10086.469999999999"/>
    <n v="0"/>
    <x v="1"/>
    <x v="1"/>
  </r>
  <r>
    <s v="IN00210"/>
    <x v="15"/>
    <s v="INV-V015-99181"/>
    <s v="PO-740725"/>
    <d v="2026-10-09T00:00:00"/>
    <d v="2026-10-24T00:00:00"/>
    <n v="7079.45"/>
    <s v="INR"/>
    <s v="Received"/>
    <s v="No"/>
    <s v="Supplier Portal"/>
    <s v="Unique"/>
    <x v="0"/>
    <n v="0"/>
    <n v="7079.45"/>
    <x v="0"/>
    <x v="0"/>
  </r>
  <r>
    <s v="IN00211"/>
    <x v="9"/>
    <s v="INV-V012-28909"/>
    <s v="PO-308727"/>
    <d v="2026-06-23T00:00:00"/>
    <d v="2026-08-07T00:00:00"/>
    <n v="13998.86"/>
    <s v="INR"/>
    <s v="Approved"/>
    <s v="No"/>
    <s v="Email"/>
    <s v="Duplicate"/>
    <x v="1"/>
    <n v="13998.86"/>
    <n v="0"/>
    <x v="3"/>
    <x v="1"/>
  </r>
  <r>
    <s v="IN00212"/>
    <x v="13"/>
    <s v="INV-V002-72094"/>
    <s v="PO-644559"/>
    <d v="2026-01-20T00:00:00"/>
    <d v="2026-02-04T00:00:00"/>
    <n v="3529.46"/>
    <s v="INR"/>
    <s v="Approved"/>
    <s v="No"/>
    <s v="EDI"/>
    <s v="Unique"/>
    <x v="1"/>
    <n v="3529.46"/>
    <n v="0"/>
    <x v="1"/>
    <x v="1"/>
  </r>
  <r>
    <s v="IN00213"/>
    <x v="16"/>
    <s v="INV-V005-61505"/>
    <s v="PO-746447"/>
    <d v="2026-06-17T00:00:00"/>
    <d v="2026-07-02T00:00:00"/>
    <n v="23292.45"/>
    <s v="INR"/>
    <s v="Modified"/>
    <s v="No"/>
    <s v="Supplier Portal"/>
    <s v="Duplicate"/>
    <x v="1"/>
    <n v="23292.45"/>
    <n v="0"/>
    <x v="3"/>
    <x v="1"/>
  </r>
  <r>
    <s v="IN00214"/>
    <x v="4"/>
    <s v="INV-V017-49294"/>
    <s v="PO-597960"/>
    <d v="2026-09-18T00:00:00"/>
    <d v="2026-10-18T00:00:00"/>
    <n v="13364.61"/>
    <s v="INR"/>
    <s v="Modified"/>
    <s v="No"/>
    <s v="EDI"/>
    <s v="Unique"/>
    <x v="2"/>
    <n v="0"/>
    <n v="13364.61"/>
    <x v="2"/>
    <x v="0"/>
  </r>
  <r>
    <s v="IN00215"/>
    <x v="6"/>
    <s v="INV-V004-92478"/>
    <s v="PO-127941"/>
    <d v="2026-08-02T00:00:00"/>
    <d v="2026-09-01T00:00:00"/>
    <n v="14642.51"/>
    <s v="INR"/>
    <s v="Approved"/>
    <s v="No"/>
    <s v="EDI"/>
    <s v="Unique"/>
    <x v="0"/>
    <n v="0"/>
    <n v="14642.51"/>
    <x v="0"/>
    <x v="0"/>
  </r>
  <r>
    <s v="IN00216"/>
    <x v="19"/>
    <s v="INV-V019-32349"/>
    <s v="PO-649697"/>
    <d v="2026-04-27T00:00:00"/>
    <d v="2026-05-27T00:00:00"/>
    <n v="18068.43"/>
    <s v="INR"/>
    <s v="Approved"/>
    <s v="No"/>
    <s v="Supplier Portal"/>
    <s v="Unique"/>
    <x v="0"/>
    <n v="0"/>
    <n v="18068.43"/>
    <x v="0"/>
    <x v="0"/>
  </r>
  <r>
    <s v="IN00217"/>
    <x v="16"/>
    <s v="INV-V005-24404"/>
    <s v="PO-300051"/>
    <d v="2026-05-05T00:00:00"/>
    <d v="2026-05-20T00:00:00"/>
    <n v="905.47"/>
    <s v="INR"/>
    <s v="Received"/>
    <s v="No"/>
    <s v="Email"/>
    <s v="Unique"/>
    <x v="1"/>
    <n v="905.47"/>
    <n v="0"/>
    <x v="1"/>
    <x v="1"/>
  </r>
  <r>
    <s v="IN00218"/>
    <x v="12"/>
    <s v="INV-V014-71814"/>
    <s v="PO-989587"/>
    <d v="2026-04-15T00:00:00"/>
    <d v="2026-05-30T00:00:00"/>
    <n v="10330.19"/>
    <s v="INR"/>
    <s v="Modified"/>
    <s v="Yes"/>
    <s v="Email"/>
    <s v="Unique"/>
    <x v="0"/>
    <n v="0"/>
    <n v="10330.19"/>
    <x v="0"/>
    <x v="0"/>
  </r>
  <r>
    <s v="IN00219"/>
    <x v="4"/>
    <s v="INV-V017-72701"/>
    <s v="PO-651002"/>
    <d v="2026-04-17T00:00:00"/>
    <d v="2026-05-17T00:00:00"/>
    <n v="14074.86"/>
    <s v="INR"/>
    <s v="Approved"/>
    <s v="No"/>
    <s v="Supplier Portal"/>
    <s v="Unique"/>
    <x v="1"/>
    <n v="14074.86"/>
    <n v="0"/>
    <x v="1"/>
    <x v="1"/>
  </r>
  <r>
    <s v="IN00220"/>
    <x v="3"/>
    <s v="INV-V018-99226"/>
    <s v="PO-774558"/>
    <d v="2026-06-25T00:00:00"/>
    <d v="2026-07-25T00:00:00"/>
    <n v="13711.28"/>
    <s v="INR"/>
    <s v="Modified"/>
    <s v="No"/>
    <s v="Supplier Portal"/>
    <s v="Unique"/>
    <x v="0"/>
    <n v="0"/>
    <n v="13711.28"/>
    <x v="0"/>
    <x v="0"/>
  </r>
  <r>
    <s v="IN00221"/>
    <x v="8"/>
    <s v="INV-V007-49008"/>
    <s v="PO-908634"/>
    <d v="2026-05-07T00:00:00"/>
    <d v="2026-06-06T00:00:00"/>
    <n v="7061.68"/>
    <s v="INR"/>
    <s v="Approved"/>
    <s v="No"/>
    <s v="EDI"/>
    <s v="Unique"/>
    <x v="0"/>
    <n v="0"/>
    <n v="7061.68"/>
    <x v="0"/>
    <x v="0"/>
  </r>
  <r>
    <s v="IN00222"/>
    <x v="11"/>
    <s v="INV-V016-45842"/>
    <s v="PO-401769"/>
    <d v="2026-06-12T00:00:00"/>
    <d v="2026-06-27T00:00:00"/>
    <n v="12057.51"/>
    <s v="INR"/>
    <s v="Received"/>
    <s v="No"/>
    <s v="Supplier Portal"/>
    <s v="Unique"/>
    <x v="1"/>
    <n v="12057.51"/>
    <n v="0"/>
    <x v="1"/>
    <x v="1"/>
  </r>
  <r>
    <s v="IN00223"/>
    <x v="5"/>
    <s v="INV-V013-48070"/>
    <s v="PO-144109"/>
    <d v="2026-06-26T00:00:00"/>
    <d v="2026-07-11T00:00:00"/>
    <n v="23870.67"/>
    <s v="INR"/>
    <s v="Approved"/>
    <s v="No"/>
    <s v="Supplier Portal"/>
    <s v="Unique"/>
    <x v="1"/>
    <n v="23870.67"/>
    <n v="0"/>
    <x v="1"/>
    <x v="1"/>
  </r>
  <r>
    <s v="IN00224"/>
    <x v="15"/>
    <s v="INV-V015-80592"/>
    <s v="PO-384303"/>
    <d v="2026-05-12T00:00:00"/>
    <d v="2026-05-27T00:00:00"/>
    <n v="18713.78"/>
    <s v="INR"/>
    <s v="On Hold"/>
    <s v="No"/>
    <s v="Email"/>
    <s v="Unique"/>
    <x v="1"/>
    <n v="19275.189999999999"/>
    <n v="-561.40999999999985"/>
    <x v="1"/>
    <x v="1"/>
  </r>
  <r>
    <s v="IN00225"/>
    <x v="6"/>
    <s v="INV-V004-79604"/>
    <s v="PO-336633"/>
    <d v="2026-05-03T00:00:00"/>
    <d v="2026-06-02T00:00:00"/>
    <n v="6152.36"/>
    <s v="INR"/>
    <s v="Approved"/>
    <s v="Yes"/>
    <s v="Supplier Portal"/>
    <s v="Unique"/>
    <x v="0"/>
    <n v="0"/>
    <n v="6152.36"/>
    <x v="0"/>
    <x v="0"/>
  </r>
  <r>
    <s v="IN00226"/>
    <x v="2"/>
    <s v="INV-V011-10679"/>
    <s v="PO-677086"/>
    <d v="2026-08-30T00:00:00"/>
    <d v="2026-09-29T00:00:00"/>
    <n v="2621.56"/>
    <s v="INR"/>
    <s v="On Hold"/>
    <s v="No"/>
    <s v="EDI"/>
    <s v="Unique"/>
    <x v="1"/>
    <n v="2621.56"/>
    <n v="0"/>
    <x v="1"/>
    <x v="1"/>
  </r>
  <r>
    <s v="IN00227"/>
    <x v="11"/>
    <s v="INV-V016-47649"/>
    <s v="PO-436768"/>
    <d v="2026-09-02T00:00:00"/>
    <d v="2026-09-17T00:00:00"/>
    <n v="16305.4"/>
    <s v="INR"/>
    <s v="Approved"/>
    <s v="Yes"/>
    <s v="Email"/>
    <s v="Unique"/>
    <x v="1"/>
    <n v="16305.4"/>
    <n v="0"/>
    <x v="1"/>
    <x v="1"/>
  </r>
  <r>
    <s v="IN00228"/>
    <x v="19"/>
    <s v="INV-V019-14888"/>
    <s v="PO-283568"/>
    <d v="2026-04-29T00:00:00"/>
    <d v="2026-05-29T00:00:00"/>
    <n v="13434.59"/>
    <s v="INR"/>
    <s v="Approved"/>
    <s v="No"/>
    <s v="Email"/>
    <s v="Unique"/>
    <x v="4"/>
    <n v="0"/>
    <n v="13434.59"/>
    <x v="4"/>
    <x v="0"/>
  </r>
  <r>
    <s v="IN00229"/>
    <x v="5"/>
    <s v="INV-V013-47941"/>
    <s v="PO-139286"/>
    <d v="2026-09-11T00:00:00"/>
    <d v="2026-09-26T00:00:00"/>
    <n v="4755.43"/>
    <s v="INR"/>
    <s v="Received"/>
    <s v="No"/>
    <s v="Email"/>
    <s v="Unique"/>
    <x v="1"/>
    <n v="4755.43"/>
    <n v="0"/>
    <x v="1"/>
    <x v="1"/>
  </r>
  <r>
    <s v="IN00230"/>
    <x v="2"/>
    <s v="INV-V011-78723"/>
    <s v="PO-617904"/>
    <d v="2026-05-26T00:00:00"/>
    <d v="2026-06-25T00:00:00"/>
    <n v="11424.21"/>
    <s v="INR"/>
    <s v="On Hold"/>
    <s v="Yes"/>
    <s v="EDI"/>
    <s v="Unique"/>
    <x v="1"/>
    <n v="11424.21"/>
    <n v="0"/>
    <x v="1"/>
    <x v="1"/>
  </r>
  <r>
    <s v="IN00231"/>
    <x v="15"/>
    <s v="INV-V015-31298"/>
    <s v="PO-866634"/>
    <d v="2026-05-20T00:00:00"/>
    <d v="2026-06-04T00:00:00"/>
    <n v="4917.1499999999996"/>
    <s v="INR"/>
    <s v="Approved"/>
    <s v="No"/>
    <s v="Email"/>
    <s v="Unique"/>
    <x v="1"/>
    <n v="4917.1499999999996"/>
    <n v="0"/>
    <x v="1"/>
    <x v="1"/>
  </r>
  <r>
    <s v="IN00232"/>
    <x v="10"/>
    <s v="INV-V001-35318"/>
    <s v="PO-284019"/>
    <d v="2026-06-22T00:00:00"/>
    <d v="2026-07-07T00:00:00"/>
    <n v="19794.3"/>
    <s v="INR"/>
    <s v="Approved"/>
    <s v="No"/>
    <s v="Supplier Portal"/>
    <s v="Unique"/>
    <x v="2"/>
    <n v="0"/>
    <n v="19794.3"/>
    <x v="2"/>
    <x v="0"/>
  </r>
  <r>
    <s v="IN00233"/>
    <x v="12"/>
    <s v="INV-V014-22502"/>
    <s v="PO-293757"/>
    <d v="2026-09-21T00:00:00"/>
    <d v="2026-11-05T00:00:00"/>
    <n v="8278.82"/>
    <s v="INR"/>
    <s v="On Hold"/>
    <s v="No"/>
    <s v="Email"/>
    <s v="Unique"/>
    <x v="4"/>
    <n v="0"/>
    <n v="8278.82"/>
    <x v="4"/>
    <x v="0"/>
  </r>
  <r>
    <s v="IN00234"/>
    <x v="10"/>
    <s v="INV-V001-44995"/>
    <s v="PO-445637"/>
    <d v="2026-05-14T00:00:00"/>
    <d v="2026-05-29T00:00:00"/>
    <n v="9663.33"/>
    <s v="INR"/>
    <s v="Approved"/>
    <s v="No"/>
    <s v="Email"/>
    <s v="Unique"/>
    <x v="1"/>
    <n v="9663.33"/>
    <n v="0"/>
    <x v="1"/>
    <x v="1"/>
  </r>
  <r>
    <s v="IN00235"/>
    <x v="7"/>
    <s v="INV-V009-50213"/>
    <s v="PO-267475"/>
    <d v="2026-07-04T00:00:00"/>
    <d v="2026-08-03T00:00:00"/>
    <n v="29137.87"/>
    <s v="INR"/>
    <s v="Approved"/>
    <s v="No"/>
    <s v="EDI"/>
    <s v="Unique"/>
    <x v="4"/>
    <n v="0"/>
    <n v="29137.87"/>
    <x v="4"/>
    <x v="0"/>
  </r>
  <r>
    <s v="IN00236"/>
    <x v="18"/>
    <s v="INV-V010-58174"/>
    <s v="PO-744481"/>
    <d v="2026-03-02T00:00:00"/>
    <d v="2026-03-17T00:00:00"/>
    <n v="16011.14"/>
    <s v="INR"/>
    <s v="Approved"/>
    <s v="No"/>
    <s v="Supplier Portal"/>
    <s v="Unique"/>
    <x v="0"/>
    <n v="0"/>
    <n v="16011.14"/>
    <x v="0"/>
    <x v="0"/>
  </r>
  <r>
    <s v="IN00237"/>
    <x v="16"/>
    <s v="INV-V005-64505"/>
    <s v="PO-836038"/>
    <d v="2026-08-21T00:00:00"/>
    <d v="2026-09-05T00:00:00"/>
    <n v="18723.64"/>
    <s v="INR"/>
    <s v="Approved"/>
    <s v="No"/>
    <s v="EDI"/>
    <s v="Unique"/>
    <x v="1"/>
    <n v="18723.64"/>
    <n v="0"/>
    <x v="1"/>
    <x v="1"/>
  </r>
  <r>
    <s v="IN00238"/>
    <x v="8"/>
    <s v="INV-V007-20730"/>
    <s v="PO-651033"/>
    <d v="2026-05-07T00:00:00"/>
    <d v="2026-06-06T00:00:00"/>
    <n v="17046.91"/>
    <s v="INR"/>
    <s v="Approved"/>
    <s v="No"/>
    <s v="Email"/>
    <s v="Unique"/>
    <x v="1"/>
    <n v="17046.91"/>
    <n v="0"/>
    <x v="1"/>
    <x v="1"/>
  </r>
  <r>
    <s v="IN00239"/>
    <x v="19"/>
    <s v="INV-V019-76255"/>
    <s v="PO-311976"/>
    <d v="2026-02-27T00:00:00"/>
    <d v="2026-03-29T00:00:00"/>
    <n v="1656.54"/>
    <s v="INR"/>
    <s v="Approved"/>
    <s v="No"/>
    <s v="Supplier Portal"/>
    <s v="Unique"/>
    <x v="3"/>
    <n v="1524.02"/>
    <n v="132.51999999999998"/>
    <x v="5"/>
    <x v="0"/>
  </r>
  <r>
    <s v="IN00240"/>
    <x v="4"/>
    <s v="INV-V017-86434"/>
    <s v="PO-612573"/>
    <d v="2026-08-15T00:00:00"/>
    <d v="2026-09-14T00:00:00"/>
    <n v="3012.05"/>
    <s v="INR"/>
    <s v="Received"/>
    <s v="No"/>
    <s v="Email"/>
    <s v="Unique"/>
    <x v="4"/>
    <n v="0"/>
    <n v="3012.05"/>
    <x v="4"/>
    <x v="0"/>
  </r>
  <r>
    <s v="IN00241"/>
    <x v="15"/>
    <s v="INV-V015-17567"/>
    <s v="PO-685941"/>
    <d v="2026-03-09T00:00:00"/>
    <d v="2026-03-24T00:00:00"/>
    <n v="12889.61"/>
    <s v="INR"/>
    <s v="Approved"/>
    <s v="No"/>
    <s v="EDI"/>
    <s v="Unique"/>
    <x v="1"/>
    <n v="12889.61"/>
    <n v="0"/>
    <x v="1"/>
    <x v="1"/>
  </r>
  <r>
    <s v="IN00242"/>
    <x v="10"/>
    <s v="INV-V001-19572"/>
    <s v="PO-147489"/>
    <d v="2026-07-22T00:00:00"/>
    <d v="2026-08-06T00:00:00"/>
    <n v="32626.55"/>
    <s v="INR"/>
    <s v="Approved"/>
    <s v="No"/>
    <s v="EDI"/>
    <s v="Unique"/>
    <x v="1"/>
    <n v="32626.55"/>
    <n v="0"/>
    <x v="1"/>
    <x v="1"/>
  </r>
  <r>
    <s v="IN00243"/>
    <x v="13"/>
    <s v="INV-V002-47629"/>
    <s v="PO-528728"/>
    <d v="2026-02-05T00:00:00"/>
    <d v="2026-02-20T00:00:00"/>
    <n v="24655.09"/>
    <s v="INR"/>
    <s v="Received"/>
    <s v="Yes"/>
    <s v="EDI"/>
    <s v="Unique"/>
    <x v="1"/>
    <n v="24655.09"/>
    <n v="0"/>
    <x v="1"/>
    <x v="1"/>
  </r>
  <r>
    <s v="IN00244"/>
    <x v="12"/>
    <s v="INV-V014-59479"/>
    <s v="PO-493892"/>
    <d v="2026-07-11T00:00:00"/>
    <d v="2026-08-25T00:00:00"/>
    <n v="24822.27"/>
    <s v="INR"/>
    <s v="Received"/>
    <s v="No"/>
    <s v="EDI"/>
    <s v="Unique"/>
    <x v="0"/>
    <n v="0"/>
    <n v="24822.27"/>
    <x v="0"/>
    <x v="0"/>
  </r>
  <r>
    <s v="IN00245"/>
    <x v="16"/>
    <s v="INV-V005-61518"/>
    <s v="PO-654531"/>
    <d v="2026-06-28T00:00:00"/>
    <d v="2026-07-13T00:00:00"/>
    <n v="3071.59"/>
    <s v="INR"/>
    <s v="Received"/>
    <s v="No"/>
    <s v="Email"/>
    <s v="Unique"/>
    <x v="0"/>
    <n v="0"/>
    <n v="3071.59"/>
    <x v="0"/>
    <x v="0"/>
  </r>
  <r>
    <s v="IN00246"/>
    <x v="10"/>
    <s v="INV-V001-65591"/>
    <s v="PO-657772"/>
    <d v="2026-06-02T00:00:00"/>
    <d v="2026-06-17T00:00:00"/>
    <n v="11639.54"/>
    <s v="INR"/>
    <s v="Approved"/>
    <s v="No"/>
    <s v="Supplier Portal"/>
    <s v="Duplicate"/>
    <x v="1"/>
    <n v="11639.54"/>
    <n v="0"/>
    <x v="3"/>
    <x v="1"/>
  </r>
  <r>
    <s v="IN00247"/>
    <x v="9"/>
    <s v="INV-V012-24790"/>
    <s v="PO-133782"/>
    <d v="2026-03-21T00:00:00"/>
    <d v="2026-05-05T00:00:00"/>
    <n v="6978.17"/>
    <s v="INR"/>
    <s v="Modified"/>
    <s v="No"/>
    <s v="Email"/>
    <s v="Duplicate"/>
    <x v="0"/>
    <n v="0"/>
    <n v="6978.17"/>
    <x v="3"/>
    <x v="0"/>
  </r>
  <r>
    <s v="IN00248"/>
    <x v="1"/>
    <s v="INV-V008-68515"/>
    <s v="PO-726822"/>
    <d v="2026-04-16T00:00:00"/>
    <d v="2026-05-01T00:00:00"/>
    <n v="1794.2"/>
    <s v="INR"/>
    <s v="Approved"/>
    <s v="No"/>
    <s v="Email"/>
    <s v="Unique"/>
    <x v="1"/>
    <n v="1794.2"/>
    <n v="0"/>
    <x v="1"/>
    <x v="1"/>
  </r>
  <r>
    <s v="IN00249"/>
    <x v="13"/>
    <s v="INV-V002-17398"/>
    <s v="PO-246942"/>
    <d v="2026-07-25T00:00:00"/>
    <d v="2026-08-09T00:00:00"/>
    <n v="11041.39"/>
    <s v="INR"/>
    <s v="Approved"/>
    <s v="No"/>
    <s v="EDI"/>
    <s v="Unique"/>
    <x v="1"/>
    <n v="11041.39"/>
    <n v="0"/>
    <x v="1"/>
    <x v="1"/>
  </r>
  <r>
    <s v="IN00250"/>
    <x v="19"/>
    <s v="INV-V019-52030"/>
    <s v="PO-348411"/>
    <d v="2026-06-13T00:00:00"/>
    <d v="2026-07-13T00:00:00"/>
    <n v="14487.57"/>
    <s v="INR"/>
    <s v="Approved"/>
    <s v="No"/>
    <s v="EDI"/>
    <s v="Unique"/>
    <x v="1"/>
    <n v="14487.57"/>
    <n v="0"/>
    <x v="1"/>
    <x v="1"/>
  </r>
  <r>
    <s v="IN00251"/>
    <x v="4"/>
    <s v="INV-V017-82970"/>
    <s v="PO-720407"/>
    <d v="2026-04-24T00:00:00"/>
    <d v="2026-05-24T00:00:00"/>
    <n v="10409.379999999999"/>
    <s v="INR"/>
    <s v="On Hold"/>
    <s v="No"/>
    <s v="EDI"/>
    <s v="Unique"/>
    <x v="1"/>
    <n v="10409.379999999999"/>
    <n v="0"/>
    <x v="1"/>
    <x v="1"/>
  </r>
  <r>
    <s v="IN00252"/>
    <x v="12"/>
    <s v="INV-V014-94320"/>
    <s v="PO-803953"/>
    <d v="2026-10-12T00:00:00"/>
    <d v="2026-11-26T00:00:00"/>
    <n v="12451.05"/>
    <s v="INR"/>
    <s v="Approved"/>
    <s v="No"/>
    <s v="EDI"/>
    <s v="Unique"/>
    <x v="4"/>
    <n v="0"/>
    <n v="12451.05"/>
    <x v="4"/>
    <x v="0"/>
  </r>
  <r>
    <s v="IN00253"/>
    <x v="12"/>
    <s v="INV-V014-80507"/>
    <s v="PO-596520"/>
    <d v="2026-07-29T00:00:00"/>
    <d v="2026-09-12T00:00:00"/>
    <n v="3832.53"/>
    <s v="INR"/>
    <s v="Approved"/>
    <s v="No"/>
    <s v="EDI"/>
    <s v="Unique"/>
    <x v="1"/>
    <n v="3832.53"/>
    <n v="0"/>
    <x v="1"/>
    <x v="1"/>
  </r>
  <r>
    <s v="IN00254"/>
    <x v="16"/>
    <s v="INV-V005-64592"/>
    <s v="PO-684357"/>
    <d v="2026-08-26T00:00:00"/>
    <d v="2026-09-10T00:00:00"/>
    <n v="22878.76"/>
    <s v="INR"/>
    <s v="Approved"/>
    <s v="No"/>
    <s v="Supplier Portal"/>
    <s v="Unique"/>
    <x v="1"/>
    <n v="22878.76"/>
    <n v="0"/>
    <x v="1"/>
    <x v="1"/>
  </r>
  <r>
    <s v="IN00255"/>
    <x v="8"/>
    <s v="INV-V007-58637"/>
    <s v="PO-196955"/>
    <d v="2026-06-19T00:00:00"/>
    <d v="2026-07-19T00:00:00"/>
    <n v="16210.04"/>
    <s v="INR"/>
    <s v="Approved"/>
    <s v="No"/>
    <s v="Email"/>
    <s v="Unique"/>
    <x v="1"/>
    <n v="16210.04"/>
    <n v="0"/>
    <x v="1"/>
    <x v="1"/>
  </r>
  <r>
    <s v="IN00256"/>
    <x v="7"/>
    <s v="INV-V009-19539"/>
    <s v="PO-297303"/>
    <d v="2026-07-13T00:00:00"/>
    <d v="2026-08-12T00:00:00"/>
    <n v="16880.96"/>
    <s v="INR"/>
    <s v="Modified"/>
    <s v="No"/>
    <s v="EDI"/>
    <s v="Unique"/>
    <x v="1"/>
    <n v="16880.96"/>
    <n v="0"/>
    <x v="1"/>
    <x v="1"/>
  </r>
  <r>
    <s v="IN00257"/>
    <x v="3"/>
    <s v="INV-V018-53642"/>
    <s v="PO-417915"/>
    <d v="2026-04-22T00:00:00"/>
    <d v="2026-05-22T00:00:00"/>
    <n v="12047.33"/>
    <s v="INR"/>
    <s v="On Hold"/>
    <s v="Yes"/>
    <s v="Email"/>
    <s v="Unique"/>
    <x v="1"/>
    <n v="12047.33"/>
    <n v="0"/>
    <x v="1"/>
    <x v="1"/>
  </r>
  <r>
    <s v="IN00258"/>
    <x v="6"/>
    <s v="INV-V004-36805"/>
    <s v="PO-515898"/>
    <d v="2026-09-03T00:00:00"/>
    <d v="2026-10-03T00:00:00"/>
    <n v="22871.3"/>
    <s v="INR"/>
    <s v="On Hold"/>
    <s v="No"/>
    <s v="Supplier Portal"/>
    <s v="Unique"/>
    <x v="0"/>
    <n v="0"/>
    <n v="22871.3"/>
    <x v="0"/>
    <x v="0"/>
  </r>
  <r>
    <s v="IN00259"/>
    <x v="5"/>
    <s v="INV-V013-44283"/>
    <s v="PO-477114"/>
    <d v="2026-08-27T00:00:00"/>
    <d v="2026-09-11T00:00:00"/>
    <n v="13397.22"/>
    <s v="INR"/>
    <s v="Approved"/>
    <s v="No"/>
    <s v="Email"/>
    <s v="Unique"/>
    <x v="0"/>
    <n v="0"/>
    <n v="13397.22"/>
    <x v="0"/>
    <x v="0"/>
  </r>
  <r>
    <s v="IN00260"/>
    <x v="11"/>
    <s v="INV-V016-64254"/>
    <s v="PO-147936"/>
    <d v="2026-06-13T00:00:00"/>
    <d v="2026-06-28T00:00:00"/>
    <n v="22868.54"/>
    <s v="INR"/>
    <s v="Approved"/>
    <s v="No"/>
    <s v="Email"/>
    <s v="Unique"/>
    <x v="1"/>
    <n v="22868.54"/>
    <n v="0"/>
    <x v="1"/>
    <x v="1"/>
  </r>
  <r>
    <s v="IN00261"/>
    <x v="10"/>
    <s v="INV-V001-64732"/>
    <s v="PO-409531"/>
    <d v="2026-05-14T00:00:00"/>
    <d v="2026-05-29T00:00:00"/>
    <n v="13886.39"/>
    <s v="INR"/>
    <s v="Received"/>
    <s v="No"/>
    <s v="Supplier Portal"/>
    <s v="Unique"/>
    <x v="2"/>
    <n v="0"/>
    <n v="13886.39"/>
    <x v="2"/>
    <x v="0"/>
  </r>
  <r>
    <s v="IN00262"/>
    <x v="19"/>
    <s v="INV-V019-99764"/>
    <s v="PO-453961"/>
    <d v="2026-05-06T00:00:00"/>
    <d v="2026-06-05T00:00:00"/>
    <n v="12542.62"/>
    <s v="INR"/>
    <s v="Approved"/>
    <s v="No"/>
    <s v="EDI"/>
    <s v="Unique"/>
    <x v="1"/>
    <n v="12542.62"/>
    <n v="0"/>
    <x v="1"/>
    <x v="1"/>
  </r>
  <r>
    <s v="IN00263"/>
    <x v="11"/>
    <s v="INV-V016-32185"/>
    <s v="PO-246757"/>
    <d v="2026-08-24T00:00:00"/>
    <d v="2026-09-08T00:00:00"/>
    <n v="4305.6499999999996"/>
    <s v="INR"/>
    <s v="Modified"/>
    <s v="No"/>
    <s v="EDI"/>
    <s v="Unique"/>
    <x v="1"/>
    <n v="4305.6499999999996"/>
    <n v="0"/>
    <x v="1"/>
    <x v="1"/>
  </r>
  <r>
    <s v="IN00264"/>
    <x v="13"/>
    <s v="INV-V002-97584"/>
    <s v="PO-150871"/>
    <d v="2026-09-26T00:00:00"/>
    <d v="2026-10-11T00:00:00"/>
    <n v="961.54"/>
    <s v="INR"/>
    <s v="Modified"/>
    <s v="No"/>
    <s v="EDI"/>
    <s v="Unique"/>
    <x v="1"/>
    <n v="961.54"/>
    <n v="0"/>
    <x v="1"/>
    <x v="1"/>
  </r>
  <r>
    <s v="IN00265"/>
    <x v="1"/>
    <s v="INV-V008-58916"/>
    <s v="PO-163386"/>
    <d v="2026-02-04T00:00:00"/>
    <d v="2026-02-19T00:00:00"/>
    <n v="42700.65"/>
    <s v="INR"/>
    <s v="Approved"/>
    <s v="No"/>
    <s v="EDI"/>
    <s v="Unique"/>
    <x v="1"/>
    <n v="42700.65"/>
    <n v="0"/>
    <x v="1"/>
    <x v="1"/>
  </r>
  <r>
    <s v="IN00266"/>
    <x v="11"/>
    <s v="INV-V016-63914"/>
    <s v="PO-112426"/>
    <d v="2026-09-07T00:00:00"/>
    <d v="2026-09-22T00:00:00"/>
    <n v="511.41"/>
    <s v="INR"/>
    <s v="Received"/>
    <s v="No"/>
    <s v="EDI"/>
    <s v="Unique"/>
    <x v="3"/>
    <n v="485.84"/>
    <n v="25.57000000000005"/>
    <x v="5"/>
    <x v="0"/>
  </r>
  <r>
    <s v="IN00267"/>
    <x v="18"/>
    <s v="INV-V010-66436"/>
    <s v="PO-945328"/>
    <d v="2026-01-09T00:00:00"/>
    <d v="2026-01-24T00:00:00"/>
    <n v="12615.13"/>
    <s v="INR"/>
    <s v="On Hold"/>
    <s v="No"/>
    <s v="Email"/>
    <s v="Unique"/>
    <x v="0"/>
    <n v="0"/>
    <n v="12615.13"/>
    <x v="0"/>
    <x v="0"/>
  </r>
  <r>
    <s v="IN00268"/>
    <x v="4"/>
    <s v="INV-V017-43084"/>
    <s v="PO-954814"/>
    <d v="2026-03-18T00:00:00"/>
    <d v="2026-04-17T00:00:00"/>
    <n v="6115.3"/>
    <s v="INR"/>
    <s v="Approved"/>
    <s v="No"/>
    <s v="Email"/>
    <s v="Unique"/>
    <x v="0"/>
    <n v="0"/>
    <n v="6115.3"/>
    <x v="0"/>
    <x v="0"/>
  </r>
  <r>
    <s v="IN00269"/>
    <x v="9"/>
    <s v="INV-V012-39603"/>
    <s v="PO-414546"/>
    <d v="2026-07-27T00:00:00"/>
    <d v="2026-09-10T00:00:00"/>
    <n v="11539.86"/>
    <s v="INR"/>
    <s v="Modified"/>
    <s v="No"/>
    <s v="EDI"/>
    <s v="Unique"/>
    <x v="1"/>
    <n v="11539.86"/>
    <n v="0"/>
    <x v="1"/>
    <x v="1"/>
  </r>
  <r>
    <s v="IN00270"/>
    <x v="13"/>
    <s v="INV-V002-72390"/>
    <s v="PO-158840"/>
    <d v="2026-02-17T00:00:00"/>
    <d v="2026-03-04T00:00:00"/>
    <n v="10203.32"/>
    <s v="INR"/>
    <s v="Approved"/>
    <s v="No"/>
    <s v="Email"/>
    <s v="Unique"/>
    <x v="1"/>
    <n v="10203.32"/>
    <n v="0"/>
    <x v="1"/>
    <x v="1"/>
  </r>
  <r>
    <s v="IN00271"/>
    <x v="11"/>
    <s v="INV-V016-22499"/>
    <s v="PO-653815"/>
    <d v="2026-08-11T00:00:00"/>
    <d v="2026-08-26T00:00:00"/>
    <n v="16165.29"/>
    <s v="INR"/>
    <s v="On Hold"/>
    <s v="No"/>
    <s v="EDI"/>
    <s v="Unique"/>
    <x v="0"/>
    <n v="0"/>
    <n v="16165.29"/>
    <x v="0"/>
    <x v="0"/>
  </r>
  <r>
    <s v="IN00272"/>
    <x v="19"/>
    <s v="INV-V019-99709"/>
    <s v="PO-393992"/>
    <d v="2026-09-01T00:00:00"/>
    <d v="2026-10-01T00:00:00"/>
    <n v="6864.84"/>
    <s v="INR"/>
    <s v="On Hold"/>
    <s v="No"/>
    <s v="Email"/>
    <s v="Unique"/>
    <x v="0"/>
    <n v="0"/>
    <n v="6864.84"/>
    <x v="0"/>
    <x v="0"/>
  </r>
  <r>
    <s v="IN00273"/>
    <x v="0"/>
    <s v="INV-V006-28899"/>
    <s v="PO-888795"/>
    <d v="2026-06-11T00:00:00"/>
    <d v="2026-06-26T00:00:00"/>
    <n v="509.57"/>
    <s v="INR"/>
    <s v="Modified"/>
    <s v="No"/>
    <s v="Email"/>
    <s v="Unique"/>
    <x v="0"/>
    <n v="0"/>
    <n v="509.57"/>
    <x v="0"/>
    <x v="0"/>
  </r>
  <r>
    <s v="IN00274"/>
    <x v="18"/>
    <s v="INV-V010-61007"/>
    <s v="PO-809922"/>
    <d v="2026-03-25T00:00:00"/>
    <d v="2026-04-09T00:00:00"/>
    <n v="14151.28"/>
    <s v="INR"/>
    <s v="On Hold"/>
    <s v="No"/>
    <s v="EDI"/>
    <s v="Unique"/>
    <x v="1"/>
    <n v="14151.28"/>
    <n v="0"/>
    <x v="1"/>
    <x v="1"/>
  </r>
  <r>
    <s v="IN00275"/>
    <x v="16"/>
    <s v="INV-V005-17038"/>
    <s v="PO-202430"/>
    <d v="2026-02-10T00:00:00"/>
    <d v="2026-02-25T00:00:00"/>
    <n v="12579.73"/>
    <s v="INR"/>
    <s v="Approved"/>
    <s v="No"/>
    <s v="Supplier Portal"/>
    <s v="Unique"/>
    <x v="4"/>
    <n v="0"/>
    <n v="12579.73"/>
    <x v="4"/>
    <x v="0"/>
  </r>
  <r>
    <s v="IN00276"/>
    <x v="17"/>
    <s v="INV-V020-93115"/>
    <s v="PO-386604"/>
    <d v="2026-07-23T00:00:00"/>
    <d v="2026-09-06T00:00:00"/>
    <n v="24226.74"/>
    <s v="INR"/>
    <s v="Modified"/>
    <s v="No"/>
    <s v="Email"/>
    <s v="Unique"/>
    <x v="1"/>
    <n v="24226.74"/>
    <n v="0"/>
    <x v="1"/>
    <x v="1"/>
  </r>
  <r>
    <s v="IN00277"/>
    <x v="9"/>
    <s v="INV-V012-99088"/>
    <s v="PO-714334"/>
    <d v="2026-10-11T00:00:00"/>
    <d v="2026-11-25T00:00:00"/>
    <n v="23535.63"/>
    <s v="INR"/>
    <s v="Approved"/>
    <s v="Yes"/>
    <s v="EDI"/>
    <s v="Unique"/>
    <x v="0"/>
    <n v="0"/>
    <n v="23535.63"/>
    <x v="0"/>
    <x v="0"/>
  </r>
  <r>
    <s v="IN00278"/>
    <x v="18"/>
    <s v="INV-V010-30214"/>
    <s v="PO-498458"/>
    <d v="2026-05-07T00:00:00"/>
    <d v="2026-05-22T00:00:00"/>
    <n v="17862.14"/>
    <s v="INR"/>
    <s v="Modified"/>
    <s v="No"/>
    <s v="EDI"/>
    <s v="Unique"/>
    <x v="1"/>
    <n v="17862.14"/>
    <n v="0"/>
    <x v="1"/>
    <x v="1"/>
  </r>
  <r>
    <s v="IN00279"/>
    <x v="5"/>
    <s v="INV-V013-50405"/>
    <s v="PO-566339"/>
    <d v="2026-06-12T00:00:00"/>
    <d v="2026-06-27T00:00:00"/>
    <n v="9094.2199999999993"/>
    <s v="INR"/>
    <s v="Approved"/>
    <s v="No"/>
    <s v="Email"/>
    <s v="Unique"/>
    <x v="0"/>
    <n v="0"/>
    <n v="9094.2199999999993"/>
    <x v="0"/>
    <x v="0"/>
  </r>
  <r>
    <s v="IN00280"/>
    <x v="14"/>
    <s v="INV-V003-77166"/>
    <s v="PO-527865"/>
    <d v="2026-04-06T00:00:00"/>
    <d v="2026-05-21T00:00:00"/>
    <n v="10842.77"/>
    <s v="INR"/>
    <s v="Received"/>
    <s v="Yes"/>
    <s v="EDI"/>
    <s v="Unique"/>
    <x v="1"/>
    <n v="10842.77"/>
    <n v="0"/>
    <x v="1"/>
    <x v="1"/>
  </r>
  <r>
    <s v="IN00281"/>
    <x v="14"/>
    <s v="INV-V003-21101"/>
    <s v="PO-860053"/>
    <d v="2026-06-16T00:00:00"/>
    <d v="2026-07-31T00:00:00"/>
    <n v="39483.35"/>
    <s v="INR"/>
    <s v="On Hold"/>
    <s v="No"/>
    <s v="Email"/>
    <s v="Unique"/>
    <x v="2"/>
    <n v="0"/>
    <n v="39483.35"/>
    <x v="2"/>
    <x v="0"/>
  </r>
  <r>
    <s v="IN00282"/>
    <x v="19"/>
    <s v="INV-V019-28198"/>
    <s v="PO-381981"/>
    <d v="2026-09-24T00:00:00"/>
    <d v="2026-10-24T00:00:00"/>
    <n v="4339.22"/>
    <s v="INR"/>
    <s v="Approved"/>
    <s v="No"/>
    <s v="Email"/>
    <s v="Unique"/>
    <x v="1"/>
    <n v="4339.22"/>
    <n v="0"/>
    <x v="1"/>
    <x v="1"/>
  </r>
  <r>
    <s v="IN00283"/>
    <x v="0"/>
    <s v="INV-V006-20082"/>
    <s v="PO-478666"/>
    <d v="2026-08-11T00:00:00"/>
    <d v="2026-08-26T00:00:00"/>
    <n v="6985.93"/>
    <s v="INR"/>
    <s v="Approved"/>
    <s v="No"/>
    <s v="EDI"/>
    <s v="Unique"/>
    <x v="1"/>
    <n v="6985.93"/>
    <n v="0"/>
    <x v="1"/>
    <x v="1"/>
  </r>
  <r>
    <s v="IN00284"/>
    <x v="11"/>
    <s v="INV-V016-10887"/>
    <s v="PO-514913"/>
    <d v="2026-04-11T00:00:00"/>
    <d v="2026-04-26T00:00:00"/>
    <n v="11511.6"/>
    <s v="INR"/>
    <s v="Approved"/>
    <s v="No"/>
    <s v="Supplier Portal"/>
    <s v="Unique"/>
    <x v="1"/>
    <n v="11511.6"/>
    <n v="0"/>
    <x v="1"/>
    <x v="1"/>
  </r>
  <r>
    <s v="IN00285"/>
    <x v="15"/>
    <s v="INV-V015-95332"/>
    <s v="PO-723266"/>
    <d v="2026-06-21T00:00:00"/>
    <d v="2026-07-06T00:00:00"/>
    <n v="10833.73"/>
    <s v="INR"/>
    <s v="Received"/>
    <s v="No"/>
    <s v="EDI"/>
    <s v="Unique"/>
    <x v="1"/>
    <n v="10833.73"/>
    <n v="0"/>
    <x v="1"/>
    <x v="1"/>
  </r>
  <r>
    <s v="IN00286"/>
    <x v="8"/>
    <s v="INV-V007-51830"/>
    <s v="PO-405605"/>
    <d v="2026-09-03T00:00:00"/>
    <d v="2026-10-03T00:00:00"/>
    <n v="7936.88"/>
    <s v="INR"/>
    <s v="Modified"/>
    <s v="No"/>
    <s v="EDI"/>
    <s v="Unique"/>
    <x v="2"/>
    <n v="0"/>
    <n v="7936.88"/>
    <x v="2"/>
    <x v="0"/>
  </r>
  <r>
    <s v="IN00287"/>
    <x v="1"/>
    <s v="INV-V008-61502"/>
    <s v="PO-482746"/>
    <d v="2026-06-16T00:00:00"/>
    <d v="2026-07-01T00:00:00"/>
    <n v="9476.26"/>
    <s v="INR"/>
    <s v="Received"/>
    <s v="No"/>
    <s v="EDI"/>
    <s v="Unique"/>
    <x v="1"/>
    <n v="9476.26"/>
    <n v="0"/>
    <x v="1"/>
    <x v="1"/>
  </r>
  <r>
    <s v="IN00288"/>
    <x v="3"/>
    <s v="INV-V018-70505"/>
    <s v="PO-842776"/>
    <d v="2026-04-03T00:00:00"/>
    <d v="2026-05-03T00:00:00"/>
    <n v="17081.009999999998"/>
    <s v="INR"/>
    <s v="Approved"/>
    <s v="No"/>
    <s v="EDI"/>
    <s v="Unique"/>
    <x v="1"/>
    <n v="17081.009999999998"/>
    <n v="0"/>
    <x v="1"/>
    <x v="1"/>
  </r>
  <r>
    <s v="IN00289"/>
    <x v="14"/>
    <s v="INV-V003-49692"/>
    <s v="PO-353777"/>
    <d v="2026-07-29T00:00:00"/>
    <d v="2026-09-12T00:00:00"/>
    <n v="16863.68"/>
    <s v="INR"/>
    <s v="Approved"/>
    <s v="No"/>
    <s v="Supplier Portal"/>
    <s v="Unique"/>
    <x v="1"/>
    <n v="16863.68"/>
    <n v="0"/>
    <x v="1"/>
    <x v="1"/>
  </r>
  <r>
    <s v="IN00290"/>
    <x v="5"/>
    <s v="INV-V013-86315"/>
    <s v="PO-520274"/>
    <d v="2026-02-07T00:00:00"/>
    <d v="2026-02-22T00:00:00"/>
    <n v="11292.78"/>
    <s v="INR"/>
    <s v="Approved"/>
    <s v="No"/>
    <s v="EDI"/>
    <s v="Unique"/>
    <x v="1"/>
    <n v="11292.78"/>
    <n v="0"/>
    <x v="1"/>
    <x v="1"/>
  </r>
  <r>
    <s v="IN00291"/>
    <x v="12"/>
    <s v="INV-V014-80373"/>
    <s v="PO-722665"/>
    <d v="2026-10-06T00:00:00"/>
    <d v="2026-11-20T00:00:00"/>
    <n v="1034.72"/>
    <s v="INR"/>
    <s v="Approved"/>
    <s v="Yes"/>
    <s v="Email"/>
    <s v="Unique"/>
    <x v="1"/>
    <n v="1034.72"/>
    <n v="0"/>
    <x v="1"/>
    <x v="1"/>
  </r>
  <r>
    <s v="IN00292"/>
    <x v="9"/>
    <s v="INV-V012-98797"/>
    <s v="PO-778159"/>
    <d v="2026-03-27T00:00:00"/>
    <d v="2026-05-11T00:00:00"/>
    <n v="59426.29"/>
    <s v="INR"/>
    <s v="Approved"/>
    <s v="No"/>
    <s v="Supplier Portal"/>
    <s v="Unique"/>
    <x v="1"/>
    <n v="59426.29"/>
    <n v="0"/>
    <x v="1"/>
    <x v="1"/>
  </r>
  <r>
    <s v="IN00293"/>
    <x v="6"/>
    <s v="INV-V004-77999"/>
    <s v="PO-685098"/>
    <d v="2026-01-06T00:00:00"/>
    <d v="2026-02-05T00:00:00"/>
    <n v="2573.33"/>
    <s v="INR"/>
    <s v="Approved"/>
    <s v="No"/>
    <s v="Supplier Portal"/>
    <s v="Unique"/>
    <x v="1"/>
    <n v="2573.33"/>
    <n v="0"/>
    <x v="1"/>
    <x v="1"/>
  </r>
  <r>
    <s v="IN00294"/>
    <x v="9"/>
    <s v="INV-V012-75597"/>
    <s v="PO-258067"/>
    <d v="2026-07-20T00:00:00"/>
    <d v="2026-09-03T00:00:00"/>
    <n v="11641.01"/>
    <s v="INR"/>
    <s v="Approved"/>
    <s v="Yes"/>
    <s v="Email"/>
    <s v="Duplicate"/>
    <x v="2"/>
    <n v="0"/>
    <n v="11641.01"/>
    <x v="3"/>
    <x v="0"/>
  </r>
  <r>
    <s v="IN00295"/>
    <x v="18"/>
    <s v="INV-V010-28569"/>
    <s v="PO-465249"/>
    <d v="2026-08-01T00:00:00"/>
    <d v="2026-08-16T00:00:00"/>
    <n v="23023.22"/>
    <s v="INR"/>
    <s v="Approved"/>
    <s v="No"/>
    <s v="Email"/>
    <s v="Unique"/>
    <x v="0"/>
    <n v="0"/>
    <n v="23023.22"/>
    <x v="0"/>
    <x v="0"/>
  </r>
  <r>
    <s v="IN00296"/>
    <x v="4"/>
    <s v="INV-V017-69303"/>
    <s v="PO-434400"/>
    <d v="2026-09-05T00:00:00"/>
    <d v="2026-10-05T00:00:00"/>
    <n v="8785.7099999999991"/>
    <s v="INR"/>
    <s v="Received"/>
    <s v="Yes"/>
    <s v="EDI"/>
    <s v="Unique"/>
    <x v="0"/>
    <n v="0"/>
    <n v="8785.7099999999991"/>
    <x v="0"/>
    <x v="0"/>
  </r>
  <r>
    <s v="IN00297"/>
    <x v="6"/>
    <s v="INV-V004-98754"/>
    <s v="PO-938913"/>
    <d v="2026-01-12T00:00:00"/>
    <d v="2026-02-11T00:00:00"/>
    <n v="21247.599999999999"/>
    <s v="INR"/>
    <s v="Received"/>
    <s v="No"/>
    <s v="Email"/>
    <s v="Unique"/>
    <x v="1"/>
    <n v="21247.599999999999"/>
    <n v="0"/>
    <x v="1"/>
    <x v="1"/>
  </r>
  <r>
    <s v="IN00298"/>
    <x v="4"/>
    <s v="INV-V017-65885"/>
    <s v="PO-584498"/>
    <d v="2026-03-31T00:00:00"/>
    <d v="2026-04-30T00:00:00"/>
    <n v="13851.53"/>
    <s v="INR"/>
    <s v="Approved"/>
    <s v="No"/>
    <s v="Email"/>
    <s v="Unique"/>
    <x v="4"/>
    <n v="0"/>
    <n v="13851.53"/>
    <x v="4"/>
    <x v="0"/>
  </r>
  <r>
    <s v="IN00299"/>
    <x v="0"/>
    <s v="INV-V006-35863"/>
    <s v="PO-571413"/>
    <d v="2026-08-10T00:00:00"/>
    <d v="2026-08-25T00:00:00"/>
    <n v="9962.09"/>
    <s v="INR"/>
    <s v="Approved"/>
    <s v="No"/>
    <s v="EDI"/>
    <s v="Unique"/>
    <x v="1"/>
    <n v="10759.06"/>
    <n v="-796.96999999999935"/>
    <x v="1"/>
    <x v="1"/>
  </r>
  <r>
    <s v="IN00300"/>
    <x v="8"/>
    <s v="INV-V007-18200"/>
    <s v="PO-705393"/>
    <d v="2026-04-16T00:00:00"/>
    <d v="2026-05-16T00:00:00"/>
    <n v="7045.22"/>
    <s v="INR"/>
    <s v="Received"/>
    <s v="No"/>
    <s v="Email"/>
    <s v="Unique"/>
    <x v="2"/>
    <n v="0"/>
    <n v="7045.22"/>
    <x v="2"/>
    <x v="0"/>
  </r>
  <r>
    <s v="IN00301"/>
    <x v="9"/>
    <s v="INV-V012-97910"/>
    <s v="PO-613261"/>
    <d v="2026-06-16T00:00:00"/>
    <d v="2026-07-31T00:00:00"/>
    <n v="5023.21"/>
    <s v="INR"/>
    <s v="Approved"/>
    <s v="No"/>
    <s v="EDI"/>
    <s v="Unique"/>
    <x v="1"/>
    <n v="5425.07"/>
    <n v="-401.85999999999967"/>
    <x v="1"/>
    <x v="1"/>
  </r>
  <r>
    <s v="IN00302"/>
    <x v="5"/>
    <s v="INV-V013-70012"/>
    <s v="PO-747351"/>
    <d v="2026-07-20T00:00:00"/>
    <d v="2026-08-04T00:00:00"/>
    <n v="14724.68"/>
    <s v="INR"/>
    <s v="Received"/>
    <s v="No"/>
    <s v="Supplier Portal"/>
    <s v="Unique"/>
    <x v="0"/>
    <n v="0"/>
    <n v="14724.68"/>
    <x v="0"/>
    <x v="0"/>
  </r>
  <r>
    <s v="IN00303"/>
    <x v="17"/>
    <s v="INV-V020-41270"/>
    <s v="PO-420214"/>
    <d v="2026-02-13T00:00:00"/>
    <d v="2026-03-30T00:00:00"/>
    <n v="16842.099999999999"/>
    <s v="INR"/>
    <s v="Received"/>
    <s v="No"/>
    <s v="Email"/>
    <s v="Duplicate"/>
    <x v="3"/>
    <n v="15999.99"/>
    <n v="842.10999999999876"/>
    <x v="3"/>
    <x v="0"/>
  </r>
  <r>
    <s v="IN00304"/>
    <x v="4"/>
    <s v="INV-V017-60293"/>
    <s v="PO-543588"/>
    <d v="2026-07-18T00:00:00"/>
    <d v="2026-08-17T00:00:00"/>
    <n v="10525.79"/>
    <s v="INR"/>
    <s v="Received"/>
    <s v="No"/>
    <s v="EDI"/>
    <s v="Duplicate"/>
    <x v="1"/>
    <n v="10525.79"/>
    <n v="0"/>
    <x v="3"/>
    <x v="1"/>
  </r>
  <r>
    <s v="IN00305"/>
    <x v="0"/>
    <s v="INV-V006-34523"/>
    <s v="PO-429861"/>
    <d v="2026-10-12T00:00:00"/>
    <d v="2026-10-27T00:00:00"/>
    <n v="4271.6099999999997"/>
    <s v="INR"/>
    <s v="Modified"/>
    <s v="No"/>
    <s v="Supplier Portal"/>
    <s v="Unique"/>
    <x v="2"/>
    <n v="0"/>
    <n v="4271.6099999999997"/>
    <x v="2"/>
    <x v="0"/>
  </r>
  <r>
    <s v="IN00306"/>
    <x v="10"/>
    <s v="INV-V001-83607"/>
    <s v="PO-629990"/>
    <d v="2026-09-06T00:00:00"/>
    <d v="2026-09-21T00:00:00"/>
    <n v="3516.98"/>
    <s v="INR"/>
    <s v="Approved"/>
    <s v="No"/>
    <s v="Supplier Portal"/>
    <s v="Unique"/>
    <x v="2"/>
    <n v="0"/>
    <n v="3516.98"/>
    <x v="2"/>
    <x v="0"/>
  </r>
  <r>
    <s v="IN00307"/>
    <x v="12"/>
    <s v="INV-V014-14044"/>
    <s v="PO-934541"/>
    <d v="2026-08-16T00:00:00"/>
    <d v="2026-09-30T00:00:00"/>
    <n v="12278.84"/>
    <s v="INR"/>
    <s v="Modified"/>
    <s v="No"/>
    <s v="Supplier Portal"/>
    <s v="Unique"/>
    <x v="0"/>
    <n v="0"/>
    <n v="12278.84"/>
    <x v="0"/>
    <x v="0"/>
  </r>
  <r>
    <s v="IN00308"/>
    <x v="1"/>
    <s v="INV-V008-84140"/>
    <s v="PO-878586"/>
    <d v="2026-10-03T00:00:00"/>
    <d v="2026-10-18T00:00:00"/>
    <n v="7302.12"/>
    <s v="INR"/>
    <s v="Modified"/>
    <s v="No"/>
    <s v="EDI"/>
    <s v="Unique"/>
    <x v="0"/>
    <n v="0"/>
    <n v="7302.12"/>
    <x v="0"/>
    <x v="0"/>
  </r>
  <r>
    <s v="IN00309"/>
    <x v="6"/>
    <s v="INV-V004-58085"/>
    <s v="PO-668373"/>
    <d v="2026-02-28T00:00:00"/>
    <d v="2026-03-30T00:00:00"/>
    <n v="6785.08"/>
    <s v="INR"/>
    <s v="Modified"/>
    <s v="Yes"/>
    <s v="EDI"/>
    <s v="Unique"/>
    <x v="0"/>
    <n v="0"/>
    <n v="6785.08"/>
    <x v="0"/>
    <x v="0"/>
  </r>
  <r>
    <s v="IN00310"/>
    <x v="15"/>
    <s v="INV-V015-95678"/>
    <s v="PO-887842"/>
    <d v="2026-10-07T00:00:00"/>
    <d v="2026-10-22T00:00:00"/>
    <n v="5557.32"/>
    <s v="INR"/>
    <s v="Approved"/>
    <s v="No"/>
    <s v="Email"/>
    <s v="Unique"/>
    <x v="1"/>
    <n v="5557.32"/>
    <n v="0"/>
    <x v="1"/>
    <x v="1"/>
  </r>
  <r>
    <s v="IN00311"/>
    <x v="15"/>
    <s v="INV-V015-67549"/>
    <s v="PO-223088"/>
    <d v="2026-05-15T00:00:00"/>
    <d v="2026-05-30T00:00:00"/>
    <n v="8792.6"/>
    <s v="INR"/>
    <s v="Modified"/>
    <s v="No"/>
    <s v="EDI"/>
    <s v="Unique"/>
    <x v="0"/>
    <n v="0"/>
    <n v="8792.6"/>
    <x v="0"/>
    <x v="0"/>
  </r>
  <r>
    <s v="IN00312"/>
    <x v="19"/>
    <s v="INV-V019-66120"/>
    <s v="PO-274044"/>
    <d v="2026-06-29T00:00:00"/>
    <d v="2026-07-29T00:00:00"/>
    <n v="21542.89"/>
    <s v="INR"/>
    <s v="Approved"/>
    <s v="No"/>
    <s v="Email"/>
    <s v="Unique"/>
    <x v="1"/>
    <n v="21542.89"/>
    <n v="0"/>
    <x v="1"/>
    <x v="1"/>
  </r>
  <r>
    <s v="IN00313"/>
    <x v="13"/>
    <s v="INV-V002-32069"/>
    <s v="PO-439375"/>
    <d v="2026-06-29T00:00:00"/>
    <d v="2026-07-14T00:00:00"/>
    <n v="13363.15"/>
    <s v="INR"/>
    <s v="On Hold"/>
    <s v="No"/>
    <s v="EDI"/>
    <s v="Unique"/>
    <x v="1"/>
    <n v="13363.15"/>
    <n v="0"/>
    <x v="1"/>
    <x v="1"/>
  </r>
  <r>
    <s v="IN00314"/>
    <x v="7"/>
    <s v="INV-V009-22481"/>
    <s v="PO-242175"/>
    <d v="2026-09-21T00:00:00"/>
    <d v="2026-10-21T00:00:00"/>
    <n v="24638.95"/>
    <s v="INR"/>
    <s v="On Hold"/>
    <s v="No"/>
    <s v="Email"/>
    <s v="Unique"/>
    <x v="1"/>
    <n v="24638.95"/>
    <n v="0"/>
    <x v="1"/>
    <x v="1"/>
  </r>
  <r>
    <s v="IN00315"/>
    <x v="7"/>
    <s v="INV-V009-29168"/>
    <s v="PO-845951"/>
    <d v="2026-03-06T00:00:00"/>
    <d v="2026-04-05T00:00:00"/>
    <n v="17571.490000000002"/>
    <s v="INR"/>
    <s v="Approved"/>
    <s v="No"/>
    <s v="EDI"/>
    <s v="Unique"/>
    <x v="0"/>
    <n v="0"/>
    <n v="17571.490000000002"/>
    <x v="0"/>
    <x v="0"/>
  </r>
  <r>
    <s v="IN00316"/>
    <x v="5"/>
    <s v="INV-V013-92288"/>
    <s v="PO-534346"/>
    <d v="2026-09-08T00:00:00"/>
    <d v="2026-09-23T00:00:00"/>
    <n v="3657.23"/>
    <s v="INR"/>
    <s v="Approved"/>
    <s v="Yes"/>
    <s v="Email"/>
    <s v="Unique"/>
    <x v="1"/>
    <n v="3657.23"/>
    <n v="0"/>
    <x v="1"/>
    <x v="1"/>
  </r>
  <r>
    <s v="IN00317"/>
    <x v="5"/>
    <s v="INV-V013-58374"/>
    <s v="PO-576782"/>
    <d v="2026-09-21T00:00:00"/>
    <d v="2026-10-06T00:00:00"/>
    <n v="18775.080000000002"/>
    <s v="INR"/>
    <s v="On Hold"/>
    <s v="No"/>
    <s v="Email"/>
    <s v="Unique"/>
    <x v="2"/>
    <n v="0"/>
    <n v="18775.080000000002"/>
    <x v="2"/>
    <x v="0"/>
  </r>
  <r>
    <s v="IN00318"/>
    <x v="14"/>
    <s v="INV-V003-18300"/>
    <s v="PO-934328"/>
    <d v="2026-08-23T00:00:00"/>
    <d v="2026-10-07T00:00:00"/>
    <n v="15914.83"/>
    <s v="INR"/>
    <s v="Approved"/>
    <s v="No"/>
    <s v="Supplier Portal"/>
    <s v="Unique"/>
    <x v="1"/>
    <n v="15914.83"/>
    <n v="0"/>
    <x v="1"/>
    <x v="1"/>
  </r>
  <r>
    <s v="IN00319"/>
    <x v="8"/>
    <s v="INV-V007-54270"/>
    <s v="PO-673896"/>
    <d v="2026-09-11T00:00:00"/>
    <d v="2026-10-11T00:00:00"/>
    <n v="6801.2"/>
    <s v="INR"/>
    <s v="Approved"/>
    <s v="No"/>
    <s v="Supplier Portal"/>
    <s v="Unique"/>
    <x v="1"/>
    <n v="6801.2"/>
    <n v="0"/>
    <x v="1"/>
    <x v="1"/>
  </r>
  <r>
    <s v="IN00320"/>
    <x v="2"/>
    <s v="INV-V011-70238"/>
    <s v="PO-117072"/>
    <d v="2026-01-25T00:00:00"/>
    <d v="2026-02-24T00:00:00"/>
    <n v="1263.06"/>
    <s v="INR"/>
    <s v="Received"/>
    <s v="No"/>
    <s v="Supplier Portal"/>
    <s v="Unique"/>
    <x v="1"/>
    <n v="1263.06"/>
    <n v="0"/>
    <x v="1"/>
    <x v="1"/>
  </r>
  <r>
    <s v="IN00321"/>
    <x v="15"/>
    <s v="INV-V015-27290"/>
    <s v="PO-781571"/>
    <d v="2026-01-01T00:00:00"/>
    <d v="2026-01-16T00:00:00"/>
    <n v="24796.94"/>
    <s v="INR"/>
    <s v="Approved"/>
    <s v="No"/>
    <s v="Supplier Portal"/>
    <s v="Unique"/>
    <x v="4"/>
    <n v="0"/>
    <n v="24796.94"/>
    <x v="4"/>
    <x v="0"/>
  </r>
  <r>
    <s v="IN00322"/>
    <x v="14"/>
    <s v="INV-V003-95054"/>
    <s v="PO-273565"/>
    <d v="2026-07-04T00:00:00"/>
    <d v="2026-08-18T00:00:00"/>
    <n v="6349.69"/>
    <s v="INR"/>
    <s v="Received"/>
    <s v="No"/>
    <s v="EDI"/>
    <s v="Unique"/>
    <x v="4"/>
    <n v="0"/>
    <n v="6349.69"/>
    <x v="4"/>
    <x v="0"/>
  </r>
  <r>
    <s v="IN00323"/>
    <x v="1"/>
    <s v="INV-V008-10142"/>
    <s v="PO-323788"/>
    <d v="2026-08-08T00:00:00"/>
    <d v="2026-08-23T00:00:00"/>
    <n v="16428.47"/>
    <s v="INR"/>
    <s v="Approved"/>
    <s v="Yes"/>
    <s v="Email"/>
    <s v="Unique"/>
    <x v="1"/>
    <n v="16428.47"/>
    <n v="0"/>
    <x v="1"/>
    <x v="1"/>
  </r>
  <r>
    <s v="IN00324"/>
    <x v="4"/>
    <s v="INV-V017-25806"/>
    <s v="PO-542828"/>
    <d v="2026-08-16T00:00:00"/>
    <d v="2026-09-15T00:00:00"/>
    <n v="351.06"/>
    <s v="INR"/>
    <s v="Modified"/>
    <s v="No"/>
    <s v="Email"/>
    <s v="Unique"/>
    <x v="1"/>
    <n v="351.06"/>
    <n v="0"/>
    <x v="1"/>
    <x v="1"/>
  </r>
  <r>
    <s v="IN00325"/>
    <x v="5"/>
    <s v="INV-V013-51071"/>
    <s v="PO-485416"/>
    <d v="2026-02-15T00:00:00"/>
    <d v="2026-03-02T00:00:00"/>
    <n v="18301.39"/>
    <s v="INR"/>
    <s v="On Hold"/>
    <s v="Yes"/>
    <s v="Email"/>
    <s v="Unique"/>
    <x v="1"/>
    <n v="18301.39"/>
    <n v="0"/>
    <x v="1"/>
    <x v="1"/>
  </r>
  <r>
    <s v="IN00326"/>
    <x v="16"/>
    <s v="INV-V005-67684"/>
    <s v="PO-468247"/>
    <d v="2026-02-05T00:00:00"/>
    <d v="2026-02-20T00:00:00"/>
    <n v="47750.71"/>
    <s v="INR"/>
    <s v="Modified"/>
    <s v="No"/>
    <s v="Email"/>
    <s v="Unique"/>
    <x v="2"/>
    <n v="0"/>
    <n v="47750.71"/>
    <x v="2"/>
    <x v="1"/>
  </r>
  <r>
    <s v="IN00327"/>
    <x v="12"/>
    <s v="INV-V014-23168"/>
    <s v="PO-246814"/>
    <d v="2026-08-15T00:00:00"/>
    <d v="2026-09-29T00:00:00"/>
    <n v="21515.87"/>
    <s v="INR"/>
    <s v="Modified"/>
    <s v="No"/>
    <s v="Supplier Portal"/>
    <s v="Unique"/>
    <x v="1"/>
    <n v="21515.87"/>
    <n v="0"/>
    <x v="1"/>
    <x v="1"/>
  </r>
  <r>
    <s v="IN00328"/>
    <x v="9"/>
    <s v="INV-V012-46302"/>
    <s v="PO-775933"/>
    <d v="2026-08-08T00:00:00"/>
    <d v="2026-09-22T00:00:00"/>
    <n v="7944.85"/>
    <s v="INR"/>
    <s v="Received"/>
    <s v="No"/>
    <s v="EDI"/>
    <s v="Unique"/>
    <x v="1"/>
    <n v="7944.85"/>
    <n v="0"/>
    <x v="1"/>
    <x v="1"/>
  </r>
  <r>
    <s v="IN00329"/>
    <x v="17"/>
    <s v="INV-V020-96298"/>
    <s v="PO-416302"/>
    <d v="2026-05-26T00:00:00"/>
    <d v="2026-07-10T00:00:00"/>
    <n v="19500.759999999998"/>
    <s v="INR"/>
    <s v="Approved"/>
    <s v="No"/>
    <s v="Email"/>
    <s v="Unique"/>
    <x v="1"/>
    <n v="19500.759999999998"/>
    <n v="0"/>
    <x v="1"/>
    <x v="1"/>
  </r>
  <r>
    <s v="IN00330"/>
    <x v="5"/>
    <s v="INV-V013-41370"/>
    <s v="PO-618927"/>
    <d v="2026-06-01T00:00:00"/>
    <d v="2026-06-16T00:00:00"/>
    <n v="16196.7"/>
    <s v="INR"/>
    <s v="Approved"/>
    <s v="No"/>
    <s v="EDI"/>
    <s v="Unique"/>
    <x v="1"/>
    <n v="16682.599999999999"/>
    <n v="-485.89999999999782"/>
    <x v="1"/>
    <x v="1"/>
  </r>
  <r>
    <s v="IN00331"/>
    <x v="17"/>
    <s v="INV-V020-57329"/>
    <s v="PO-431845"/>
    <d v="2026-02-06T00:00:00"/>
    <d v="2026-03-23T00:00:00"/>
    <n v="13263.77"/>
    <s v="INR"/>
    <s v="Received"/>
    <s v="No"/>
    <s v="EDI"/>
    <s v="Unique"/>
    <x v="1"/>
    <n v="13263.77"/>
    <n v="0"/>
    <x v="1"/>
    <x v="1"/>
  </r>
  <r>
    <s v="IN00332"/>
    <x v="12"/>
    <s v="INV-V014-71736"/>
    <s v="PO-907788"/>
    <d v="2026-07-07T00:00:00"/>
    <d v="2026-08-21T00:00:00"/>
    <n v="13713.34"/>
    <s v="INR"/>
    <s v="Received"/>
    <s v="No"/>
    <s v="Email"/>
    <s v="Duplicate"/>
    <x v="2"/>
    <n v="0"/>
    <n v="13713.34"/>
    <x v="3"/>
    <x v="0"/>
  </r>
  <r>
    <s v="IN00333"/>
    <x v="7"/>
    <s v="INV-V009-76402"/>
    <s v="PO-400404"/>
    <d v="2026-04-21T00:00:00"/>
    <d v="2026-05-21T00:00:00"/>
    <n v="52625.15"/>
    <s v="INR"/>
    <s v="Approved"/>
    <s v="No"/>
    <s v="Supplier Portal"/>
    <s v="Unique"/>
    <x v="0"/>
    <n v="0"/>
    <n v="52625.15"/>
    <x v="0"/>
    <x v="1"/>
  </r>
  <r>
    <s v="IN00334"/>
    <x v="12"/>
    <s v="INV-V014-90746"/>
    <s v="PO-260097"/>
    <d v="2026-07-25T00:00:00"/>
    <d v="2026-09-08T00:00:00"/>
    <n v="2170.8000000000002"/>
    <s v="INR"/>
    <s v="Approved"/>
    <s v="No"/>
    <s v="EDI"/>
    <s v="Unique"/>
    <x v="1"/>
    <n v="2170.8000000000002"/>
    <n v="0"/>
    <x v="1"/>
    <x v="1"/>
  </r>
  <r>
    <s v="IN00335"/>
    <x v="8"/>
    <s v="INV-V007-93138"/>
    <s v="PO-900298"/>
    <d v="2026-03-21T00:00:00"/>
    <d v="2026-04-20T00:00:00"/>
    <n v="13465.39"/>
    <s v="INR"/>
    <s v="Modified"/>
    <s v="No"/>
    <s v="Email"/>
    <s v="Unique"/>
    <x v="1"/>
    <n v="13465.39"/>
    <n v="0"/>
    <x v="1"/>
    <x v="1"/>
  </r>
  <r>
    <s v="IN00336"/>
    <x v="18"/>
    <s v="INV-V010-17589"/>
    <s v="PO-356355"/>
    <d v="2026-08-12T00:00:00"/>
    <d v="2026-08-27T00:00:00"/>
    <n v="18281.36"/>
    <s v="INR"/>
    <s v="Received"/>
    <s v="No"/>
    <s v="Supplier Portal"/>
    <s v="Unique"/>
    <x v="0"/>
    <n v="0"/>
    <n v="18281.36"/>
    <x v="0"/>
    <x v="0"/>
  </r>
  <r>
    <s v="IN00337"/>
    <x v="17"/>
    <s v="INV-V020-33022"/>
    <s v="PO-225245"/>
    <d v="2026-01-29T00:00:00"/>
    <d v="2026-03-15T00:00:00"/>
    <n v="7815.14"/>
    <s v="INR"/>
    <s v="Received"/>
    <s v="Yes"/>
    <s v="Email"/>
    <s v="Unique"/>
    <x v="2"/>
    <n v="0"/>
    <n v="7815.14"/>
    <x v="2"/>
    <x v="0"/>
  </r>
  <r>
    <s v="IN00338"/>
    <x v="0"/>
    <s v="INV-V006-43980"/>
    <s v="PO-275073"/>
    <d v="2026-09-12T00:00:00"/>
    <d v="2026-09-27T00:00:00"/>
    <n v="23831.040000000001"/>
    <s v="INR"/>
    <s v="Approved"/>
    <s v="No"/>
    <s v="Supplier Portal"/>
    <s v="Unique"/>
    <x v="0"/>
    <n v="0"/>
    <n v="23831.040000000001"/>
    <x v="0"/>
    <x v="0"/>
  </r>
  <r>
    <s v="IN00339"/>
    <x v="6"/>
    <s v="INV-V004-78662"/>
    <s v="PO-166974"/>
    <d v="2026-01-16T00:00:00"/>
    <d v="2026-02-15T00:00:00"/>
    <n v="8455.07"/>
    <s v="INR"/>
    <s v="Approved"/>
    <s v="No"/>
    <s v="EDI"/>
    <s v="Duplicate"/>
    <x v="1"/>
    <n v="8455.07"/>
    <n v="0"/>
    <x v="3"/>
    <x v="1"/>
  </r>
  <r>
    <s v="IN00340"/>
    <x v="14"/>
    <s v="INV-V003-75484"/>
    <s v="PO-694423"/>
    <d v="2026-09-12T00:00:00"/>
    <d v="2026-10-27T00:00:00"/>
    <n v="11445.32"/>
    <s v="INR"/>
    <s v="Received"/>
    <s v="No"/>
    <s v="Email"/>
    <s v="Unique"/>
    <x v="1"/>
    <n v="11445.32"/>
    <n v="0"/>
    <x v="1"/>
    <x v="1"/>
  </r>
  <r>
    <s v="IN00341"/>
    <x v="19"/>
    <s v="INV-V019-15772"/>
    <s v="PO-112884"/>
    <d v="2026-03-01T00:00:00"/>
    <d v="2026-03-31T00:00:00"/>
    <n v="5802.7"/>
    <s v="INR"/>
    <s v="Approved"/>
    <s v="No"/>
    <s v="Supplier Portal"/>
    <s v="Unique"/>
    <x v="4"/>
    <n v="0"/>
    <n v="5802.7"/>
    <x v="4"/>
    <x v="0"/>
  </r>
  <r>
    <s v="IN00342"/>
    <x v="16"/>
    <s v="INV-V005-82465"/>
    <s v="PO-942127"/>
    <d v="2026-04-02T00:00:00"/>
    <d v="2026-04-17T00:00:00"/>
    <n v="23287.26"/>
    <s v="INR"/>
    <s v="On Hold"/>
    <s v="No"/>
    <s v="Supplier Portal"/>
    <s v="Unique"/>
    <x v="1"/>
    <n v="25150.240000000002"/>
    <n v="-1862.9800000000032"/>
    <x v="1"/>
    <x v="1"/>
  </r>
  <r>
    <s v="IN00343"/>
    <x v="1"/>
    <s v="INV-V008-51934"/>
    <s v="PO-384434"/>
    <d v="2026-06-14T00:00:00"/>
    <d v="2026-06-29T00:00:00"/>
    <n v="6296.79"/>
    <s v="INR"/>
    <s v="Modified"/>
    <s v="No"/>
    <s v="Email"/>
    <s v="Unique"/>
    <x v="1"/>
    <n v="6296.79"/>
    <n v="0"/>
    <x v="1"/>
    <x v="1"/>
  </r>
  <r>
    <s v="IN00344"/>
    <x v="4"/>
    <s v="INV-V017-16019"/>
    <s v="PO-520400"/>
    <d v="2026-01-27T00:00:00"/>
    <d v="2026-02-26T00:00:00"/>
    <n v="4582.09"/>
    <s v="INR"/>
    <s v="Received"/>
    <s v="No"/>
    <s v="Supplier Portal"/>
    <s v="Unique"/>
    <x v="1"/>
    <n v="4582.09"/>
    <n v="0"/>
    <x v="1"/>
    <x v="1"/>
  </r>
  <r>
    <s v="IN00345"/>
    <x v="18"/>
    <s v="INV-V010-58354"/>
    <s v="PO-310418"/>
    <d v="2026-06-17T00:00:00"/>
    <d v="2026-07-02T00:00:00"/>
    <n v="2269.27"/>
    <s v="INR"/>
    <s v="Approved"/>
    <s v="No"/>
    <s v="EDI"/>
    <s v="Unique"/>
    <x v="1"/>
    <n v="2269.27"/>
    <n v="0"/>
    <x v="1"/>
    <x v="1"/>
  </r>
  <r>
    <s v="IN00346"/>
    <x v="17"/>
    <s v="INV-V020-74665"/>
    <s v="PO-910143"/>
    <d v="2026-05-05T00:00:00"/>
    <d v="2026-06-19T00:00:00"/>
    <n v="11662.5"/>
    <s v="INR"/>
    <s v="Modified"/>
    <s v="No"/>
    <s v="EDI"/>
    <s v="Duplicate"/>
    <x v="1"/>
    <n v="12012.38"/>
    <n v="-349.8799999999992"/>
    <x v="3"/>
    <x v="1"/>
  </r>
  <r>
    <s v="IN00347"/>
    <x v="1"/>
    <s v="INV-V008-40539"/>
    <s v="PO-667851"/>
    <d v="2026-03-19T00:00:00"/>
    <d v="2026-04-03T00:00:00"/>
    <n v="278.68"/>
    <s v="INR"/>
    <s v="Approved"/>
    <s v="No"/>
    <s v="Email"/>
    <s v="Unique"/>
    <x v="1"/>
    <n v="278.68"/>
    <n v="0"/>
    <x v="1"/>
    <x v="1"/>
  </r>
  <r>
    <s v="IN00348"/>
    <x v="2"/>
    <s v="INV-V011-50306"/>
    <s v="PO-208998"/>
    <d v="2026-01-01T00:00:00"/>
    <d v="2026-01-31T00:00:00"/>
    <n v="19002.16"/>
    <s v="INR"/>
    <s v="Approved"/>
    <s v="No"/>
    <s v="Supplier Portal"/>
    <s v="Unique"/>
    <x v="0"/>
    <n v="0"/>
    <n v="19002.16"/>
    <x v="0"/>
    <x v="0"/>
  </r>
  <r>
    <s v="IN00349"/>
    <x v="11"/>
    <s v="INV-V016-46677"/>
    <s v="PO-197545"/>
    <d v="2026-01-31T00:00:00"/>
    <d v="2026-02-15T00:00:00"/>
    <n v="24317.27"/>
    <s v="INR"/>
    <s v="Received"/>
    <s v="No"/>
    <s v="EDI"/>
    <s v="Unique"/>
    <x v="2"/>
    <n v="0"/>
    <n v="24317.27"/>
    <x v="2"/>
    <x v="0"/>
  </r>
  <r>
    <s v="IN00350"/>
    <x v="12"/>
    <s v="INV-V014-86122"/>
    <s v="PO-200219"/>
    <d v="2026-07-10T00:00:00"/>
    <d v="2026-08-24T00:00:00"/>
    <n v="11526.44"/>
    <s v="INR"/>
    <s v="Approved"/>
    <s v="No"/>
    <s v="Supplier Portal"/>
    <s v="Unique"/>
    <x v="2"/>
    <n v="0"/>
    <n v="11526.44"/>
    <x v="2"/>
    <x v="0"/>
  </r>
  <r>
    <s v="IN00351"/>
    <x v="14"/>
    <s v="INV-V003-41034"/>
    <s v="PO-405844"/>
    <d v="2026-02-01T00:00:00"/>
    <d v="2026-03-18T00:00:00"/>
    <n v="10942.37"/>
    <s v="INR"/>
    <s v="Approved"/>
    <s v="No"/>
    <s v="Supplier Portal"/>
    <s v="Unique"/>
    <x v="0"/>
    <n v="0"/>
    <n v="10942.37"/>
    <x v="0"/>
    <x v="0"/>
  </r>
  <r>
    <s v="IN00352"/>
    <x v="2"/>
    <s v="INV-V011-36569"/>
    <s v="PO-242723"/>
    <d v="2026-06-12T00:00:00"/>
    <d v="2026-07-12T00:00:00"/>
    <n v="11384.62"/>
    <s v="INR"/>
    <s v="Modified"/>
    <s v="No"/>
    <s v="Email"/>
    <s v="Unique"/>
    <x v="1"/>
    <n v="11726.16"/>
    <n v="-341.53999999999905"/>
    <x v="1"/>
    <x v="1"/>
  </r>
  <r>
    <s v="IN00353"/>
    <x v="6"/>
    <s v="INV-V004-25825"/>
    <s v="PO-661957"/>
    <d v="2026-03-26T00:00:00"/>
    <d v="2026-04-25T00:00:00"/>
    <n v="11305.22"/>
    <s v="INR"/>
    <s v="Approved"/>
    <s v="No"/>
    <s v="Supplier Portal"/>
    <s v="Unique"/>
    <x v="1"/>
    <n v="11305.22"/>
    <n v="0"/>
    <x v="1"/>
    <x v="1"/>
  </r>
  <r>
    <s v="IN00354"/>
    <x v="18"/>
    <s v="INV-V010-30658"/>
    <s v="PO-946826"/>
    <d v="2026-08-26T00:00:00"/>
    <d v="2026-09-10T00:00:00"/>
    <n v="6713.4"/>
    <s v="INR"/>
    <s v="Modified"/>
    <s v="No"/>
    <s v="EDI"/>
    <s v="Unique"/>
    <x v="1"/>
    <n v="6713.4"/>
    <n v="0"/>
    <x v="1"/>
    <x v="1"/>
  </r>
  <r>
    <s v="IN00355"/>
    <x v="17"/>
    <s v="INV-V020-29441"/>
    <s v="PO-195643"/>
    <d v="2026-01-21T00:00:00"/>
    <d v="2026-03-07T00:00:00"/>
    <n v="5469.72"/>
    <s v="INR"/>
    <s v="Modified"/>
    <s v="No"/>
    <s v="Supplier Portal"/>
    <s v="Unique"/>
    <x v="1"/>
    <n v="5469.72"/>
    <n v="0"/>
    <x v="1"/>
    <x v="1"/>
  </r>
  <r>
    <s v="IN00356"/>
    <x v="4"/>
    <s v="INV-V017-32789"/>
    <s v="PO-132591"/>
    <d v="2026-01-26T00:00:00"/>
    <d v="2026-02-25T00:00:00"/>
    <n v="16968.32"/>
    <s v="INR"/>
    <s v="On Hold"/>
    <s v="No"/>
    <s v="EDI"/>
    <s v="Unique"/>
    <x v="4"/>
    <n v="0"/>
    <n v="16968.32"/>
    <x v="4"/>
    <x v="0"/>
  </r>
  <r>
    <s v="IN00357"/>
    <x v="3"/>
    <s v="INV-V018-28322"/>
    <s v="PO-227352"/>
    <d v="2026-05-08T00:00:00"/>
    <d v="2026-06-07T00:00:00"/>
    <n v="2476.7600000000002"/>
    <s v="INR"/>
    <s v="Received"/>
    <s v="No"/>
    <s v="Email"/>
    <s v="Unique"/>
    <x v="0"/>
    <n v="0"/>
    <n v="2476.7600000000002"/>
    <x v="0"/>
    <x v="0"/>
  </r>
  <r>
    <s v="IN00358"/>
    <x v="16"/>
    <s v="INV-V005-92614"/>
    <s v="PO-776001"/>
    <d v="2026-04-12T00:00:00"/>
    <d v="2026-04-27T00:00:00"/>
    <n v="20612.990000000002"/>
    <s v="INR"/>
    <s v="Received"/>
    <s v="No"/>
    <s v="Email"/>
    <s v="Unique"/>
    <x v="0"/>
    <n v="0"/>
    <n v="20612.990000000002"/>
    <x v="0"/>
    <x v="0"/>
  </r>
  <r>
    <s v="IN00359"/>
    <x v="10"/>
    <s v="INV-V001-26880"/>
    <s v="PO-196446"/>
    <d v="2026-02-03T00:00:00"/>
    <d v="2026-02-18T00:00:00"/>
    <n v="5040.03"/>
    <s v="INR"/>
    <s v="On Hold"/>
    <s v="No"/>
    <s v="Supplier Portal"/>
    <s v="Unique"/>
    <x v="1"/>
    <n v="5040.03"/>
    <n v="0"/>
    <x v="1"/>
    <x v="1"/>
  </r>
  <r>
    <s v="IN00360"/>
    <x v="6"/>
    <s v="INV-V004-66774"/>
    <s v="PO-961599"/>
    <d v="2026-01-22T00:00:00"/>
    <d v="2026-02-21T00:00:00"/>
    <n v="57344.61"/>
    <s v="INR"/>
    <s v="Modified"/>
    <s v="No"/>
    <s v="Supplier Portal"/>
    <s v="Unique"/>
    <x v="1"/>
    <n v="59064.95"/>
    <n v="-1720.3399999999965"/>
    <x v="1"/>
    <x v="1"/>
  </r>
  <r>
    <s v="IN00361"/>
    <x v="12"/>
    <s v="INV-V014-46042"/>
    <s v="PO-393448"/>
    <d v="2026-03-30T00:00:00"/>
    <d v="2026-05-14T00:00:00"/>
    <n v="8926.11"/>
    <s v="INR"/>
    <s v="Approved"/>
    <s v="No"/>
    <s v="EDI"/>
    <s v="Unique"/>
    <x v="1"/>
    <n v="8926.11"/>
    <n v="0"/>
    <x v="1"/>
    <x v="1"/>
  </r>
  <r>
    <s v="IN00362"/>
    <x v="17"/>
    <s v="INV-V020-82179"/>
    <s v="PO-602300"/>
    <d v="2026-05-06T00:00:00"/>
    <d v="2026-06-20T00:00:00"/>
    <n v="16224.29"/>
    <s v="INR"/>
    <s v="Received"/>
    <s v="No"/>
    <s v="Email"/>
    <s v="Unique"/>
    <x v="1"/>
    <n v="16224.29"/>
    <n v="0"/>
    <x v="1"/>
    <x v="1"/>
  </r>
  <r>
    <s v="IN00363"/>
    <x v="12"/>
    <s v="INV-V014-42656"/>
    <s v="PO-761393"/>
    <d v="2026-04-13T00:00:00"/>
    <d v="2026-05-28T00:00:00"/>
    <n v="16109.19"/>
    <s v="INR"/>
    <s v="On Hold"/>
    <s v="No"/>
    <s v="Email"/>
    <s v="Unique"/>
    <x v="1"/>
    <n v="16109.19"/>
    <n v="0"/>
    <x v="1"/>
    <x v="1"/>
  </r>
  <r>
    <s v="IN00364"/>
    <x v="5"/>
    <s v="INV-V013-55093"/>
    <s v="PO-693128"/>
    <d v="2026-07-03T00:00:00"/>
    <d v="2026-07-18T00:00:00"/>
    <n v="12054.55"/>
    <s v="INR"/>
    <s v="Approved"/>
    <s v="No"/>
    <s v="Email"/>
    <s v="Unique"/>
    <x v="0"/>
    <n v="0"/>
    <n v="12054.55"/>
    <x v="0"/>
    <x v="0"/>
  </r>
  <r>
    <s v="IN00365"/>
    <x v="10"/>
    <s v="INV-V001-46822"/>
    <s v="PO-161437"/>
    <d v="2026-06-13T00:00:00"/>
    <d v="2026-06-28T00:00:00"/>
    <n v="53374.13"/>
    <s v="INR"/>
    <s v="Modified"/>
    <s v="No"/>
    <s v="Supplier Portal"/>
    <s v="Unique"/>
    <x v="2"/>
    <n v="0"/>
    <n v="53374.13"/>
    <x v="2"/>
    <x v="1"/>
  </r>
  <r>
    <s v="IN00366"/>
    <x v="19"/>
    <s v="INV-V019-96096"/>
    <s v="PO-352867"/>
    <d v="2026-04-30T00:00:00"/>
    <d v="2026-05-30T00:00:00"/>
    <n v="24352.62"/>
    <s v="INR"/>
    <s v="Approved"/>
    <s v="No"/>
    <s v="EDI"/>
    <s v="Unique"/>
    <x v="1"/>
    <n v="24352.62"/>
    <n v="0"/>
    <x v="1"/>
    <x v="1"/>
  </r>
  <r>
    <s v="IN00367"/>
    <x v="13"/>
    <s v="INV-V002-60911"/>
    <s v="PO-472039"/>
    <d v="2026-04-23T00:00:00"/>
    <d v="2026-05-08T00:00:00"/>
    <n v="14443.22"/>
    <s v="INR"/>
    <s v="On Hold"/>
    <s v="No"/>
    <s v="Email"/>
    <s v="Unique"/>
    <x v="4"/>
    <n v="0"/>
    <n v="14443.22"/>
    <x v="4"/>
    <x v="0"/>
  </r>
  <r>
    <s v="IN00368"/>
    <x v="0"/>
    <s v="INV-V006-57026"/>
    <s v="PO-720298"/>
    <d v="2026-05-02T00:00:00"/>
    <d v="2026-05-17T00:00:00"/>
    <n v="14861.89"/>
    <s v="INR"/>
    <s v="Received"/>
    <s v="No"/>
    <s v="EDI"/>
    <s v="Unique"/>
    <x v="1"/>
    <n v="14861.89"/>
    <n v="0"/>
    <x v="1"/>
    <x v="1"/>
  </r>
  <r>
    <s v="IN00369"/>
    <x v="19"/>
    <s v="INV-V019-74517"/>
    <s v="PO-668458"/>
    <d v="2026-03-14T00:00:00"/>
    <d v="2026-04-13T00:00:00"/>
    <n v="14130.15"/>
    <s v="INR"/>
    <s v="Approved"/>
    <s v="No"/>
    <s v="Email"/>
    <s v="Duplicate"/>
    <x v="1"/>
    <n v="14130.15"/>
    <n v="0"/>
    <x v="3"/>
    <x v="1"/>
  </r>
  <r>
    <s v="IN00370"/>
    <x v="13"/>
    <s v="INV-V002-53481"/>
    <s v="PO-743966"/>
    <d v="2026-04-30T00:00:00"/>
    <d v="2026-05-15T00:00:00"/>
    <n v="41729.61"/>
    <s v="INR"/>
    <s v="Approved"/>
    <s v="Yes"/>
    <s v="EDI"/>
    <s v="Unique"/>
    <x v="1"/>
    <n v="41729.61"/>
    <n v="0"/>
    <x v="1"/>
    <x v="1"/>
  </r>
  <r>
    <s v="IN00371"/>
    <x v="0"/>
    <s v="INV-V006-28566"/>
    <s v="PO-911982"/>
    <d v="2026-06-15T00:00:00"/>
    <d v="2026-06-30T00:00:00"/>
    <n v="1601.75"/>
    <s v="INR"/>
    <s v="Received"/>
    <s v="No"/>
    <s v="Supplier Portal"/>
    <s v="Unique"/>
    <x v="1"/>
    <n v="1601.75"/>
    <n v="0"/>
    <x v="1"/>
    <x v="1"/>
  </r>
  <r>
    <s v="IN00372"/>
    <x v="14"/>
    <s v="INV-V003-86810"/>
    <s v="PO-205939"/>
    <d v="2026-07-11T00:00:00"/>
    <d v="2026-08-25T00:00:00"/>
    <n v="17648.91"/>
    <s v="INR"/>
    <s v="Approved"/>
    <s v="No"/>
    <s v="Email"/>
    <s v="Unique"/>
    <x v="1"/>
    <n v="17648.91"/>
    <n v="0"/>
    <x v="1"/>
    <x v="1"/>
  </r>
  <r>
    <s v="IN00373"/>
    <x v="12"/>
    <s v="INV-V014-83659"/>
    <s v="PO-827250"/>
    <d v="2026-09-07T00:00:00"/>
    <d v="2026-10-22T00:00:00"/>
    <n v="16271.61"/>
    <s v="INR"/>
    <s v="On Hold"/>
    <s v="No"/>
    <s v="Supplier Portal"/>
    <s v="Unique"/>
    <x v="1"/>
    <n v="16271.61"/>
    <n v="0"/>
    <x v="1"/>
    <x v="1"/>
  </r>
  <r>
    <s v="IN00374"/>
    <x v="1"/>
    <s v="INV-V008-48602"/>
    <s v="PO-233534"/>
    <d v="2026-03-31T00:00:00"/>
    <d v="2026-04-15T00:00:00"/>
    <n v="9534.2000000000007"/>
    <s v="INR"/>
    <s v="Received"/>
    <s v="Yes"/>
    <s v="EDI"/>
    <s v="Unique"/>
    <x v="4"/>
    <n v="0"/>
    <n v="9534.2000000000007"/>
    <x v="4"/>
    <x v="0"/>
  </r>
  <r>
    <s v="IN00375"/>
    <x v="19"/>
    <s v="INV-V019-84381"/>
    <s v="PO-133955"/>
    <d v="2026-07-20T00:00:00"/>
    <d v="2026-08-19T00:00:00"/>
    <n v="21286.83"/>
    <s v="INR"/>
    <s v="Received"/>
    <s v="No"/>
    <s v="EDI"/>
    <s v="Unique"/>
    <x v="1"/>
    <n v="21286.83"/>
    <n v="0"/>
    <x v="1"/>
    <x v="1"/>
  </r>
  <r>
    <s v="IN00376"/>
    <x v="1"/>
    <s v="INV-V008-20198"/>
    <s v="PO-349556"/>
    <d v="2026-02-23T00:00:00"/>
    <d v="2026-03-10T00:00:00"/>
    <n v="23424.79"/>
    <s v="INR"/>
    <s v="Approved"/>
    <s v="No"/>
    <s v="EDI"/>
    <s v="Unique"/>
    <x v="1"/>
    <n v="23424.79"/>
    <n v="0"/>
    <x v="1"/>
    <x v="1"/>
  </r>
  <r>
    <s v="IN00377"/>
    <x v="14"/>
    <s v="INV-V003-42707"/>
    <s v="PO-826847"/>
    <d v="2026-06-21T00:00:00"/>
    <d v="2026-08-05T00:00:00"/>
    <n v="11232.15"/>
    <s v="INR"/>
    <s v="Received"/>
    <s v="No"/>
    <s v="Email"/>
    <s v="Unique"/>
    <x v="2"/>
    <n v="0"/>
    <n v="11232.15"/>
    <x v="2"/>
    <x v="0"/>
  </r>
  <r>
    <s v="IN00378"/>
    <x v="10"/>
    <s v="INV-V001-31802"/>
    <s v="PO-534130"/>
    <d v="2026-01-25T00:00:00"/>
    <d v="2026-02-09T00:00:00"/>
    <n v="9722.11"/>
    <s v="INR"/>
    <s v="Approved"/>
    <s v="No"/>
    <s v="EDI"/>
    <s v="Unique"/>
    <x v="1"/>
    <n v="9722.11"/>
    <n v="0"/>
    <x v="1"/>
    <x v="1"/>
  </r>
  <r>
    <s v="IN00379"/>
    <x v="5"/>
    <s v="INV-V013-85766"/>
    <s v="PO-782591"/>
    <d v="2026-02-21T00:00:00"/>
    <d v="2026-03-08T00:00:00"/>
    <n v="20740.72"/>
    <s v="INR"/>
    <s v="Modified"/>
    <s v="No"/>
    <s v="Supplier Portal"/>
    <s v="Unique"/>
    <x v="1"/>
    <n v="20740.72"/>
    <n v="0"/>
    <x v="1"/>
    <x v="1"/>
  </r>
  <r>
    <s v="IN00380"/>
    <x v="14"/>
    <s v="INV-V003-23726"/>
    <s v="PO-177804"/>
    <d v="2026-01-18T00:00:00"/>
    <d v="2026-03-04T00:00:00"/>
    <n v="7457.33"/>
    <s v="INR"/>
    <s v="Approved"/>
    <s v="No"/>
    <s v="Email"/>
    <s v="Unique"/>
    <x v="0"/>
    <n v="0"/>
    <n v="7457.33"/>
    <x v="0"/>
    <x v="0"/>
  </r>
  <r>
    <s v="IN00381"/>
    <x v="14"/>
    <s v="INV-V003-54295"/>
    <s v="PO-722886"/>
    <d v="2026-10-08T00:00:00"/>
    <d v="2026-11-22T00:00:00"/>
    <n v="23552.83"/>
    <s v="INR"/>
    <s v="On Hold"/>
    <s v="No"/>
    <s v="EDI"/>
    <s v="Unique"/>
    <x v="0"/>
    <n v="0"/>
    <n v="23552.83"/>
    <x v="0"/>
    <x v="0"/>
  </r>
  <r>
    <s v="IN00382"/>
    <x v="10"/>
    <s v="INV-V001-66911"/>
    <s v="PO-264735"/>
    <d v="2026-08-09T00:00:00"/>
    <d v="2026-08-24T00:00:00"/>
    <n v="23567.96"/>
    <s v="INR"/>
    <s v="Received"/>
    <s v="No"/>
    <s v="Email"/>
    <s v="Unique"/>
    <x v="4"/>
    <n v="0"/>
    <n v="23567.96"/>
    <x v="4"/>
    <x v="0"/>
  </r>
  <r>
    <s v="IN00383"/>
    <x v="12"/>
    <s v="INV-V014-44768"/>
    <s v="PO-792687"/>
    <d v="2026-10-11T00:00:00"/>
    <d v="2026-11-25T00:00:00"/>
    <n v="18084.310000000001"/>
    <s v="INR"/>
    <s v="Approved"/>
    <s v="No"/>
    <s v="Email"/>
    <s v="Unique"/>
    <x v="1"/>
    <n v="18084.310000000001"/>
    <n v="0"/>
    <x v="1"/>
    <x v="1"/>
  </r>
  <r>
    <s v="IN00384"/>
    <x v="5"/>
    <s v="INV-V013-57294"/>
    <s v="PO-104000"/>
    <d v="2026-10-09T00:00:00"/>
    <d v="2026-10-24T00:00:00"/>
    <n v="21015.58"/>
    <s v="INR"/>
    <s v="Approved"/>
    <s v="No"/>
    <s v="EDI"/>
    <s v="Unique"/>
    <x v="1"/>
    <n v="21015.58"/>
    <n v="0"/>
    <x v="1"/>
    <x v="1"/>
  </r>
  <r>
    <s v="IN00385"/>
    <x v="17"/>
    <s v="INV-V020-48248"/>
    <s v="PO-185916"/>
    <d v="2026-09-03T00:00:00"/>
    <d v="2026-10-18T00:00:00"/>
    <n v="30979.13"/>
    <s v="INR"/>
    <s v="Approved"/>
    <s v="Yes"/>
    <s v="Supplier Portal"/>
    <s v="Unique"/>
    <x v="1"/>
    <n v="30979.13"/>
    <n v="0"/>
    <x v="1"/>
    <x v="1"/>
  </r>
  <r>
    <s v="IN00386"/>
    <x v="11"/>
    <s v="INV-V016-94130"/>
    <s v="PO-670557"/>
    <d v="2026-09-08T00:00:00"/>
    <d v="2026-09-23T00:00:00"/>
    <n v="22384.55"/>
    <s v="INR"/>
    <s v="Approved"/>
    <s v="No"/>
    <s v="Supplier Portal"/>
    <s v="Unique"/>
    <x v="0"/>
    <n v="0"/>
    <n v="22384.55"/>
    <x v="0"/>
    <x v="0"/>
  </r>
  <r>
    <s v="IN00387"/>
    <x v="9"/>
    <s v="INV-V012-70956"/>
    <s v="PO-376195"/>
    <d v="2026-04-06T00:00:00"/>
    <d v="2026-05-21T00:00:00"/>
    <n v="11210.89"/>
    <s v="INR"/>
    <s v="Approved"/>
    <s v="No"/>
    <s v="Email"/>
    <s v="Unique"/>
    <x v="1"/>
    <n v="11210.89"/>
    <n v="0"/>
    <x v="1"/>
    <x v="1"/>
  </r>
  <r>
    <s v="IN00388"/>
    <x v="16"/>
    <s v="INV-V005-80968"/>
    <s v="PO-534096"/>
    <d v="2026-02-19T00:00:00"/>
    <d v="2026-03-06T00:00:00"/>
    <n v="2252.4"/>
    <s v="INR"/>
    <s v="On Hold"/>
    <s v="No"/>
    <s v="EDI"/>
    <s v="Unique"/>
    <x v="1"/>
    <n v="2252.4"/>
    <n v="0"/>
    <x v="1"/>
    <x v="1"/>
  </r>
  <r>
    <s v="IN00389"/>
    <x v="13"/>
    <s v="INV-V002-80190"/>
    <s v="PO-820442"/>
    <d v="2026-07-18T00:00:00"/>
    <d v="2026-08-02T00:00:00"/>
    <n v="20481.919999999998"/>
    <s v="INR"/>
    <s v="On Hold"/>
    <s v="No"/>
    <s v="Email"/>
    <s v="Unique"/>
    <x v="1"/>
    <n v="20481.919999999998"/>
    <n v="0"/>
    <x v="1"/>
    <x v="1"/>
  </r>
  <r>
    <s v="IN00390"/>
    <x v="11"/>
    <s v="INV-V016-14551"/>
    <s v="PO-626491"/>
    <d v="2026-06-03T00:00:00"/>
    <d v="2026-06-18T00:00:00"/>
    <n v="2084.4"/>
    <s v="INR"/>
    <s v="Approved"/>
    <s v="No"/>
    <s v="EDI"/>
    <s v="Unique"/>
    <x v="0"/>
    <n v="0"/>
    <n v="2084.4"/>
    <x v="0"/>
    <x v="0"/>
  </r>
  <r>
    <s v="IN00391"/>
    <x v="17"/>
    <s v="INV-V020-32659"/>
    <s v="PO-275284"/>
    <d v="2026-03-17T00:00:00"/>
    <d v="2026-05-01T00:00:00"/>
    <n v="3112.61"/>
    <s v="INR"/>
    <s v="On Hold"/>
    <s v="No"/>
    <s v="Email"/>
    <s v="Unique"/>
    <x v="1"/>
    <n v="3112.61"/>
    <n v="0"/>
    <x v="1"/>
    <x v="1"/>
  </r>
  <r>
    <s v="IN00392"/>
    <x v="13"/>
    <s v="INV-V002-36465"/>
    <s v="PO-962520"/>
    <d v="2026-08-05T00:00:00"/>
    <d v="2026-08-20T00:00:00"/>
    <n v="2069.81"/>
    <s v="INR"/>
    <s v="Approved"/>
    <s v="No"/>
    <s v="Supplier Portal"/>
    <s v="Unique"/>
    <x v="4"/>
    <n v="0"/>
    <n v="2069.81"/>
    <x v="4"/>
    <x v="0"/>
  </r>
  <r>
    <s v="IN00393"/>
    <x v="2"/>
    <s v="INV-V011-82358"/>
    <s v="PO-441968"/>
    <d v="2026-02-04T00:00:00"/>
    <d v="2026-03-06T00:00:00"/>
    <n v="2285.2399999999998"/>
    <s v="INR"/>
    <s v="On Hold"/>
    <s v="No"/>
    <s v="Email"/>
    <s v="Unique"/>
    <x v="0"/>
    <n v="0"/>
    <n v="2285.2399999999998"/>
    <x v="0"/>
    <x v="0"/>
  </r>
  <r>
    <s v="IN00394"/>
    <x v="17"/>
    <s v="INV-V020-29613"/>
    <s v="PO-255398"/>
    <d v="2026-09-25T00:00:00"/>
    <d v="2026-11-09T00:00:00"/>
    <n v="19568.34"/>
    <s v="INR"/>
    <s v="Approved"/>
    <s v="No"/>
    <s v="Email"/>
    <s v="Unique"/>
    <x v="0"/>
    <n v="0"/>
    <n v="19568.34"/>
    <x v="0"/>
    <x v="0"/>
  </r>
  <r>
    <s v="IN00395"/>
    <x v="6"/>
    <s v="INV-V004-55071"/>
    <s v="PO-530849"/>
    <d v="2026-02-21T00:00:00"/>
    <d v="2026-03-23T00:00:00"/>
    <n v="19669.349999999999"/>
    <s v="INR"/>
    <s v="Approved"/>
    <s v="No"/>
    <s v="EDI"/>
    <s v="Unique"/>
    <x v="1"/>
    <n v="19669.349999999999"/>
    <n v="0"/>
    <x v="1"/>
    <x v="1"/>
  </r>
  <r>
    <s v="IN00396"/>
    <x v="17"/>
    <s v="INV-V020-28855"/>
    <s v="PO-748276"/>
    <d v="2026-08-31T00:00:00"/>
    <d v="2026-10-15T00:00:00"/>
    <n v="1052.1500000000001"/>
    <s v="INR"/>
    <s v="Approved"/>
    <s v="No"/>
    <s v="Email"/>
    <s v="Unique"/>
    <x v="1"/>
    <n v="1052.1500000000001"/>
    <n v="0"/>
    <x v="1"/>
    <x v="1"/>
  </r>
  <r>
    <s v="IN00397"/>
    <x v="5"/>
    <s v="INV-V013-45203"/>
    <s v="PO-490532"/>
    <d v="2026-06-19T00:00:00"/>
    <d v="2026-07-04T00:00:00"/>
    <n v="41632.639999999999"/>
    <s v="INR"/>
    <s v="Received"/>
    <s v="No"/>
    <s v="Supplier Portal"/>
    <s v="Unique"/>
    <x v="0"/>
    <n v="0"/>
    <n v="41632.639999999999"/>
    <x v="0"/>
    <x v="0"/>
  </r>
  <r>
    <s v="IN00398"/>
    <x v="18"/>
    <s v="INV-V010-99764"/>
    <s v="PO-202988"/>
    <d v="2026-05-24T00:00:00"/>
    <d v="2026-06-08T00:00:00"/>
    <n v="21090.02"/>
    <s v="INR"/>
    <s v="On Hold"/>
    <s v="No"/>
    <s v="Supplier Portal"/>
    <s v="Unique"/>
    <x v="2"/>
    <n v="0"/>
    <n v="21090.02"/>
    <x v="2"/>
    <x v="0"/>
  </r>
  <r>
    <s v="IN00399"/>
    <x v="15"/>
    <s v="INV-V015-94614"/>
    <s v="PO-193624"/>
    <d v="2026-06-14T00:00:00"/>
    <d v="2026-06-29T00:00:00"/>
    <n v="6823.17"/>
    <s v="INR"/>
    <s v="Received"/>
    <s v="No"/>
    <s v="Supplier Portal"/>
    <s v="Unique"/>
    <x v="1"/>
    <n v="6823.17"/>
    <n v="0"/>
    <x v="1"/>
    <x v="1"/>
  </r>
  <r>
    <s v="IN00400"/>
    <x v="11"/>
    <s v="INV-V016-77537"/>
    <s v="PO-929937"/>
    <d v="2026-09-22T00:00:00"/>
    <d v="2026-10-07T00:00:00"/>
    <n v="21695.66"/>
    <s v="INR"/>
    <s v="Received"/>
    <s v="No"/>
    <s v="EDI"/>
    <s v="Unique"/>
    <x v="1"/>
    <n v="21695.66"/>
    <n v="0"/>
    <x v="1"/>
    <x v="1"/>
  </r>
  <r>
    <s v="IN00401"/>
    <x v="5"/>
    <s v="INV-V013-84537"/>
    <s v="PO-130354"/>
    <d v="2026-03-11T00:00:00"/>
    <d v="2026-03-26T00:00:00"/>
    <n v="19539.25"/>
    <s v="INR"/>
    <s v="Received"/>
    <s v="No"/>
    <s v="Email"/>
    <s v="Unique"/>
    <x v="3"/>
    <n v="17976.11"/>
    <n v="1563.1399999999994"/>
    <x v="5"/>
    <x v="0"/>
  </r>
  <r>
    <s v="IN00402"/>
    <x v="13"/>
    <s v="INV-V002-36097"/>
    <s v="PO-387286"/>
    <d v="2026-05-08T00:00:00"/>
    <d v="2026-05-23T00:00:00"/>
    <n v="37613.129999999997"/>
    <s v="INR"/>
    <s v="Approved"/>
    <s v="No"/>
    <s v="Supplier Portal"/>
    <s v="Unique"/>
    <x v="0"/>
    <n v="0"/>
    <n v="37613.129999999997"/>
    <x v="0"/>
    <x v="0"/>
  </r>
  <r>
    <s v="IN00403"/>
    <x v="6"/>
    <s v="INV-V004-68471"/>
    <s v="PO-286209"/>
    <d v="2026-01-16T00:00:00"/>
    <d v="2026-02-15T00:00:00"/>
    <n v="6139.42"/>
    <s v="INR"/>
    <s v="On Hold"/>
    <s v="No"/>
    <s v="EDI"/>
    <s v="Unique"/>
    <x v="1"/>
    <n v="6139.42"/>
    <n v="0"/>
    <x v="1"/>
    <x v="1"/>
  </r>
  <r>
    <s v="IN00404"/>
    <x v="9"/>
    <s v="INV-V012-21847"/>
    <s v="PO-398916"/>
    <d v="2026-06-26T00:00:00"/>
    <d v="2026-08-10T00:00:00"/>
    <n v="4188.22"/>
    <s v="INR"/>
    <s v="Received"/>
    <s v="Yes"/>
    <s v="EDI"/>
    <s v="Unique"/>
    <x v="1"/>
    <n v="4188.22"/>
    <n v="0"/>
    <x v="1"/>
    <x v="1"/>
  </r>
  <r>
    <s v="IN00405"/>
    <x v="8"/>
    <s v="INV-V007-45269"/>
    <s v="PO-783238"/>
    <d v="2026-04-24T00:00:00"/>
    <d v="2026-05-24T00:00:00"/>
    <n v="16226.81"/>
    <s v="INR"/>
    <s v="Approved"/>
    <s v="Yes"/>
    <s v="EDI"/>
    <s v="Unique"/>
    <x v="0"/>
    <n v="0"/>
    <n v="16226.81"/>
    <x v="0"/>
    <x v="0"/>
  </r>
  <r>
    <s v="IN00406"/>
    <x v="10"/>
    <s v="INV-V001-88792"/>
    <s v="PO-939767"/>
    <d v="2026-08-31T00:00:00"/>
    <d v="2026-09-15T00:00:00"/>
    <n v="22798.5"/>
    <s v="INR"/>
    <s v="Received"/>
    <s v="No"/>
    <s v="Supplier Portal"/>
    <s v="Unique"/>
    <x v="4"/>
    <n v="0"/>
    <n v="22798.5"/>
    <x v="4"/>
    <x v="0"/>
  </r>
  <r>
    <s v="IN00407"/>
    <x v="7"/>
    <s v="INV-V009-70161"/>
    <s v="PO-364239"/>
    <d v="2026-08-05T00:00:00"/>
    <d v="2026-09-04T00:00:00"/>
    <n v="22399.62"/>
    <s v="INR"/>
    <s v="Approved"/>
    <s v="No"/>
    <s v="EDI"/>
    <s v="Unique"/>
    <x v="1"/>
    <n v="22399.62"/>
    <n v="0"/>
    <x v="1"/>
    <x v="1"/>
  </r>
  <r>
    <s v="IN00408"/>
    <x v="17"/>
    <s v="INV-V020-59051"/>
    <s v="PO-688730"/>
    <d v="2026-07-23T00:00:00"/>
    <d v="2026-09-06T00:00:00"/>
    <n v="59980.03"/>
    <s v="INR"/>
    <s v="Approved"/>
    <s v="No"/>
    <s v="Supplier Portal"/>
    <s v="Unique"/>
    <x v="1"/>
    <n v="59980.03"/>
    <n v="0"/>
    <x v="1"/>
    <x v="1"/>
  </r>
  <r>
    <s v="IN00409"/>
    <x v="6"/>
    <s v="INV-V004-93964"/>
    <s v="PO-440930"/>
    <d v="2026-09-04T00:00:00"/>
    <d v="2026-10-04T00:00:00"/>
    <n v="1708.27"/>
    <s v="INR"/>
    <s v="On Hold"/>
    <s v="No"/>
    <s v="EDI"/>
    <s v="Unique"/>
    <x v="1"/>
    <n v="1708.27"/>
    <n v="0"/>
    <x v="1"/>
    <x v="1"/>
  </r>
  <r>
    <s v="IN00410"/>
    <x v="18"/>
    <s v="INV-V010-17441"/>
    <s v="PO-944554"/>
    <d v="2026-04-07T00:00:00"/>
    <d v="2026-04-22T00:00:00"/>
    <n v="3850.24"/>
    <s v="INR"/>
    <s v="On Hold"/>
    <s v="No"/>
    <s v="Supplier Portal"/>
    <s v="Unique"/>
    <x v="1"/>
    <n v="3850.24"/>
    <n v="0"/>
    <x v="1"/>
    <x v="1"/>
  </r>
  <r>
    <s v="IN00411"/>
    <x v="2"/>
    <s v="INV-V011-48745"/>
    <s v="PO-372028"/>
    <d v="2026-03-13T00:00:00"/>
    <d v="2026-04-12T00:00:00"/>
    <n v="18065.53"/>
    <s v="INR"/>
    <s v="On Hold"/>
    <s v="No"/>
    <s v="EDI"/>
    <s v="Unique"/>
    <x v="0"/>
    <n v="0"/>
    <n v="18065.53"/>
    <x v="0"/>
    <x v="0"/>
  </r>
  <r>
    <s v="IN00412"/>
    <x v="13"/>
    <s v="INV-V002-99957"/>
    <s v="PO-660605"/>
    <d v="2026-04-08T00:00:00"/>
    <d v="2026-04-23T00:00:00"/>
    <n v="8658"/>
    <s v="INR"/>
    <s v="Approved"/>
    <s v="No"/>
    <s v="EDI"/>
    <s v="Unique"/>
    <x v="0"/>
    <n v="0"/>
    <n v="8658"/>
    <x v="0"/>
    <x v="0"/>
  </r>
  <r>
    <s v="IN00413"/>
    <x v="9"/>
    <s v="INV-V012-96194"/>
    <s v="PO-685365"/>
    <d v="2026-09-17T00:00:00"/>
    <d v="2026-11-01T00:00:00"/>
    <n v="7588.85"/>
    <s v="INR"/>
    <s v="Received"/>
    <s v="Yes"/>
    <s v="Email"/>
    <s v="Unique"/>
    <x v="1"/>
    <n v="7588.85"/>
    <n v="0"/>
    <x v="1"/>
    <x v="1"/>
  </r>
  <r>
    <s v="IN00414"/>
    <x v="7"/>
    <s v="INV-V009-95778"/>
    <s v="PO-193637"/>
    <d v="2026-04-04T00:00:00"/>
    <d v="2026-05-04T00:00:00"/>
    <n v="23679.45"/>
    <s v="INR"/>
    <s v="Approved"/>
    <s v="No"/>
    <s v="Supplier Portal"/>
    <s v="Unique"/>
    <x v="2"/>
    <n v="0"/>
    <n v="23679.45"/>
    <x v="2"/>
    <x v="0"/>
  </r>
  <r>
    <s v="IN00415"/>
    <x v="12"/>
    <s v="INV-V014-70786"/>
    <s v="PO-992562"/>
    <d v="2026-06-19T00:00:00"/>
    <d v="2026-08-03T00:00:00"/>
    <n v="9367.4599999999991"/>
    <s v="INR"/>
    <s v="Received"/>
    <s v="Yes"/>
    <s v="EDI"/>
    <s v="Unique"/>
    <x v="4"/>
    <n v="0"/>
    <n v="9367.4599999999991"/>
    <x v="4"/>
    <x v="0"/>
  </r>
  <r>
    <s v="IN00416"/>
    <x v="19"/>
    <s v="INV-V019-25704"/>
    <s v="PO-813763"/>
    <d v="2026-02-06T00:00:00"/>
    <d v="2026-03-08T00:00:00"/>
    <n v="11868.83"/>
    <s v="INR"/>
    <s v="Approved"/>
    <s v="No"/>
    <s v="Email"/>
    <s v="Duplicate"/>
    <x v="1"/>
    <n v="11868.83"/>
    <n v="0"/>
    <x v="3"/>
    <x v="1"/>
  </r>
  <r>
    <s v="IN00417"/>
    <x v="16"/>
    <s v="INV-V005-84632"/>
    <s v="PO-579798"/>
    <d v="2026-03-12T00:00:00"/>
    <d v="2026-03-27T00:00:00"/>
    <n v="24809.61"/>
    <s v="INR"/>
    <s v="Received"/>
    <s v="No"/>
    <s v="Email"/>
    <s v="Unique"/>
    <x v="1"/>
    <n v="24809.61"/>
    <n v="0"/>
    <x v="1"/>
    <x v="1"/>
  </r>
  <r>
    <s v="IN00418"/>
    <x v="14"/>
    <s v="INV-V003-51079"/>
    <s v="PO-765320"/>
    <d v="2026-09-07T00:00:00"/>
    <d v="2026-10-22T00:00:00"/>
    <n v="8395.82"/>
    <s v="INR"/>
    <s v="Received"/>
    <s v="No"/>
    <s v="Email"/>
    <s v="Unique"/>
    <x v="1"/>
    <n v="8395.82"/>
    <n v="0"/>
    <x v="1"/>
    <x v="1"/>
  </r>
  <r>
    <s v="IN00419"/>
    <x v="0"/>
    <s v="INV-V006-21539"/>
    <s v="PO-235691"/>
    <d v="2026-03-23T00:00:00"/>
    <d v="2026-04-07T00:00:00"/>
    <n v="12300.68"/>
    <s v="INR"/>
    <s v="Approved"/>
    <s v="No"/>
    <s v="Supplier Portal"/>
    <s v="Duplicate"/>
    <x v="1"/>
    <n v="12300.68"/>
    <n v="0"/>
    <x v="3"/>
    <x v="1"/>
  </r>
  <r>
    <s v="IN00420"/>
    <x v="12"/>
    <s v="INV-V014-58903"/>
    <s v="PO-114760"/>
    <d v="2026-09-02T00:00:00"/>
    <d v="2026-10-17T00:00:00"/>
    <n v="31979.5"/>
    <s v="INR"/>
    <s v="On Hold"/>
    <s v="No"/>
    <s v="EDI"/>
    <s v="Unique"/>
    <x v="4"/>
    <n v="0"/>
    <n v="31979.5"/>
    <x v="4"/>
    <x v="0"/>
  </r>
  <r>
    <s v="IN00421"/>
    <x v="8"/>
    <s v="INV-V007-42613"/>
    <s v="PO-337256"/>
    <d v="2026-01-10T00:00:00"/>
    <d v="2026-02-09T00:00:00"/>
    <n v="16957.490000000002"/>
    <s v="INR"/>
    <s v="Modified"/>
    <s v="No"/>
    <s v="Email"/>
    <s v="Unique"/>
    <x v="0"/>
    <n v="0"/>
    <n v="16957.490000000002"/>
    <x v="0"/>
    <x v="0"/>
  </r>
  <r>
    <s v="IN00422"/>
    <x v="6"/>
    <s v="INV-V004-18557"/>
    <s v="PO-963862"/>
    <d v="2026-07-16T00:00:00"/>
    <d v="2026-08-15T00:00:00"/>
    <n v="12643.01"/>
    <s v="INR"/>
    <s v="Received"/>
    <s v="No"/>
    <s v="Supplier Portal"/>
    <s v="Unique"/>
    <x v="2"/>
    <n v="0"/>
    <n v="12643.01"/>
    <x v="2"/>
    <x v="0"/>
  </r>
  <r>
    <s v="IN00423"/>
    <x v="4"/>
    <s v="INV-V017-27536"/>
    <s v="PO-459381"/>
    <d v="2026-09-26T00:00:00"/>
    <d v="2026-10-26T00:00:00"/>
    <n v="8525.34"/>
    <s v="INR"/>
    <s v="On Hold"/>
    <s v="No"/>
    <s v="Email"/>
    <s v="Unique"/>
    <x v="1"/>
    <n v="8525.34"/>
    <n v="0"/>
    <x v="1"/>
    <x v="1"/>
  </r>
  <r>
    <s v="IN00424"/>
    <x v="0"/>
    <s v="INV-V006-27197"/>
    <s v="PO-321449"/>
    <d v="2026-07-26T00:00:00"/>
    <d v="2026-08-10T00:00:00"/>
    <n v="595.82000000000005"/>
    <s v="INR"/>
    <s v="Modified"/>
    <s v="No"/>
    <s v="Email"/>
    <s v="Unique"/>
    <x v="0"/>
    <n v="0"/>
    <n v="595.82000000000005"/>
    <x v="0"/>
    <x v="0"/>
  </r>
  <r>
    <s v="IN00425"/>
    <x v="6"/>
    <s v="INV-V004-59177"/>
    <s v="PO-771425"/>
    <d v="2026-07-07T00:00:00"/>
    <d v="2026-08-06T00:00:00"/>
    <n v="17812.419999999998"/>
    <s v="INR"/>
    <s v="Approved"/>
    <s v="No"/>
    <s v="Email"/>
    <s v="Unique"/>
    <x v="4"/>
    <n v="0"/>
    <n v="17812.419999999998"/>
    <x v="4"/>
    <x v="0"/>
  </r>
  <r>
    <s v="IN00426"/>
    <x v="17"/>
    <s v="INV-V020-12587"/>
    <s v="PO-150578"/>
    <d v="2026-01-25T00:00:00"/>
    <d v="2026-03-11T00:00:00"/>
    <n v="16589.810000000001"/>
    <s v="INR"/>
    <s v="Modified"/>
    <s v="No"/>
    <s v="Supplier Portal"/>
    <s v="Unique"/>
    <x v="1"/>
    <n v="16589.810000000001"/>
    <n v="0"/>
    <x v="1"/>
    <x v="1"/>
  </r>
  <r>
    <s v="IN00427"/>
    <x v="6"/>
    <s v="INV-V004-36934"/>
    <s v="PO-828961"/>
    <d v="2026-10-08T00:00:00"/>
    <d v="2026-11-07T00:00:00"/>
    <n v="6408.13"/>
    <s v="INR"/>
    <s v="Modified"/>
    <s v="Yes"/>
    <s v="Supplier Portal"/>
    <s v="Duplicate"/>
    <x v="1"/>
    <n v="6408.13"/>
    <n v="0"/>
    <x v="3"/>
    <x v="1"/>
  </r>
  <r>
    <s v="IN00428"/>
    <x v="6"/>
    <s v="INV-V004-27978"/>
    <s v="PO-539170"/>
    <d v="2026-09-24T00:00:00"/>
    <d v="2026-10-24T00:00:00"/>
    <n v="6837.03"/>
    <s v="INR"/>
    <s v="Modified"/>
    <s v="Yes"/>
    <s v="EDI"/>
    <s v="Unique"/>
    <x v="0"/>
    <n v="0"/>
    <n v="6837.03"/>
    <x v="0"/>
    <x v="0"/>
  </r>
  <r>
    <s v="IN00429"/>
    <x v="17"/>
    <s v="INV-V020-75239"/>
    <s v="PO-308296"/>
    <d v="2026-03-02T00:00:00"/>
    <d v="2026-04-16T00:00:00"/>
    <n v="7153.74"/>
    <s v="INR"/>
    <s v="Approved"/>
    <s v="No"/>
    <s v="EDI"/>
    <s v="Unique"/>
    <x v="0"/>
    <n v="0"/>
    <n v="7153.74"/>
    <x v="0"/>
    <x v="0"/>
  </r>
  <r>
    <s v="IN00430"/>
    <x v="8"/>
    <s v="INV-V007-15164"/>
    <s v="PO-674765"/>
    <d v="2026-07-03T00:00:00"/>
    <d v="2026-08-02T00:00:00"/>
    <n v="17621.509999999998"/>
    <s v="INR"/>
    <s v="Approved"/>
    <s v="No"/>
    <s v="Supplier Portal"/>
    <s v="Unique"/>
    <x v="3"/>
    <n v="16740.43"/>
    <n v="881.07999999999811"/>
    <x v="5"/>
    <x v="0"/>
  </r>
  <r>
    <s v="IN00431"/>
    <x v="2"/>
    <s v="INV-V011-24474"/>
    <s v="PO-975804"/>
    <d v="2026-05-01T00:00:00"/>
    <d v="2026-05-31T00:00:00"/>
    <n v="188.12"/>
    <s v="INR"/>
    <s v="Approved"/>
    <s v="No"/>
    <s v="Email"/>
    <s v="Unique"/>
    <x v="1"/>
    <n v="188.12"/>
    <n v="0"/>
    <x v="1"/>
    <x v="1"/>
  </r>
  <r>
    <s v="IN00432"/>
    <x v="4"/>
    <s v="INV-V017-43540"/>
    <s v="PO-775636"/>
    <d v="2026-02-08T00:00:00"/>
    <d v="2026-03-10T00:00:00"/>
    <n v="18122.259999999998"/>
    <s v="INR"/>
    <s v="Approved"/>
    <s v="No"/>
    <s v="Supplier Portal"/>
    <s v="Unique"/>
    <x v="4"/>
    <n v="0"/>
    <n v="18122.259999999998"/>
    <x v="4"/>
    <x v="0"/>
  </r>
  <r>
    <s v="IN00433"/>
    <x v="7"/>
    <s v="INV-V009-15170"/>
    <s v="PO-993647"/>
    <d v="2026-08-26T00:00:00"/>
    <d v="2026-09-25T00:00:00"/>
    <n v="1366"/>
    <s v="INR"/>
    <s v="Approved"/>
    <s v="No"/>
    <s v="Supplier Portal"/>
    <s v="Unique"/>
    <x v="3"/>
    <n v="819.6"/>
    <n v="546.4"/>
    <x v="5"/>
    <x v="0"/>
  </r>
  <r>
    <s v="IN00434"/>
    <x v="12"/>
    <s v="INV-V014-16014"/>
    <s v="PO-110142"/>
    <d v="2026-03-01T00:00:00"/>
    <d v="2026-04-15T00:00:00"/>
    <n v="2483.56"/>
    <s v="INR"/>
    <s v="On Hold"/>
    <s v="No"/>
    <s v="Email"/>
    <s v="Unique"/>
    <x v="4"/>
    <n v="0"/>
    <n v="2483.56"/>
    <x v="4"/>
    <x v="0"/>
  </r>
  <r>
    <s v="IN00435"/>
    <x v="2"/>
    <s v="INV-V011-45167"/>
    <s v="PO-868677"/>
    <d v="2026-07-03T00:00:00"/>
    <d v="2026-08-02T00:00:00"/>
    <n v="22375.85"/>
    <s v="INR"/>
    <s v="Received"/>
    <s v="No"/>
    <s v="Email"/>
    <s v="Unique"/>
    <x v="4"/>
    <n v="0"/>
    <n v="22375.85"/>
    <x v="4"/>
    <x v="0"/>
  </r>
  <r>
    <s v="IN00436"/>
    <x v="6"/>
    <s v="INV-V004-60556"/>
    <s v="PO-823415"/>
    <d v="2026-07-25T00:00:00"/>
    <d v="2026-08-24T00:00:00"/>
    <n v="10078.23"/>
    <s v="INR"/>
    <s v="On Hold"/>
    <s v="No"/>
    <s v="EDI"/>
    <s v="Unique"/>
    <x v="1"/>
    <n v="10078.23"/>
    <n v="0"/>
    <x v="1"/>
    <x v="1"/>
  </r>
  <r>
    <s v="IN00437"/>
    <x v="0"/>
    <s v="INV-V006-30892"/>
    <s v="PO-208751"/>
    <d v="2026-02-27T00:00:00"/>
    <d v="2026-03-14T00:00:00"/>
    <n v="3416.89"/>
    <s v="INR"/>
    <s v="Approved"/>
    <s v="No"/>
    <s v="EDI"/>
    <s v="Unique"/>
    <x v="1"/>
    <n v="3416.89"/>
    <n v="0"/>
    <x v="1"/>
    <x v="1"/>
  </r>
  <r>
    <s v="IN00438"/>
    <x v="15"/>
    <s v="INV-V015-90131"/>
    <s v="PO-130216"/>
    <d v="2026-04-03T00:00:00"/>
    <d v="2026-04-18T00:00:00"/>
    <n v="15329.72"/>
    <s v="INR"/>
    <s v="On Hold"/>
    <s v="No"/>
    <s v="EDI"/>
    <s v="Unique"/>
    <x v="2"/>
    <n v="0"/>
    <n v="15329.72"/>
    <x v="2"/>
    <x v="0"/>
  </r>
  <r>
    <s v="IN00439"/>
    <x v="16"/>
    <s v="INV-V005-63907"/>
    <s v="PO-562094"/>
    <d v="2026-09-05T00:00:00"/>
    <d v="2026-09-20T00:00:00"/>
    <n v="23019.5"/>
    <s v="INR"/>
    <s v="Received"/>
    <s v="No"/>
    <s v="Supplier Portal"/>
    <s v="Unique"/>
    <x v="4"/>
    <n v="0"/>
    <n v="23019.5"/>
    <x v="4"/>
    <x v="0"/>
  </r>
  <r>
    <s v="IN00440"/>
    <x v="10"/>
    <s v="INV-V001-84057"/>
    <s v="PO-334865"/>
    <d v="2026-09-26T00:00:00"/>
    <d v="2026-10-11T00:00:00"/>
    <n v="19216.11"/>
    <s v="INR"/>
    <s v="On Hold"/>
    <s v="No"/>
    <s v="Supplier Portal"/>
    <s v="Unique"/>
    <x v="0"/>
    <n v="0"/>
    <n v="19216.11"/>
    <x v="0"/>
    <x v="0"/>
  </r>
  <r>
    <s v="IN00441"/>
    <x v="4"/>
    <s v="INV-V017-66734"/>
    <s v="PO-793856"/>
    <d v="2026-09-25T00:00:00"/>
    <d v="2026-10-25T00:00:00"/>
    <n v="17243.45"/>
    <s v="INR"/>
    <s v="Modified"/>
    <s v="No"/>
    <s v="EDI"/>
    <s v="Unique"/>
    <x v="0"/>
    <n v="0"/>
    <n v="17243.45"/>
    <x v="0"/>
    <x v="0"/>
  </r>
  <r>
    <s v="IN00442"/>
    <x v="5"/>
    <s v="INV-V013-90335"/>
    <s v="PO-157216"/>
    <d v="2026-03-18T00:00:00"/>
    <d v="2026-04-02T00:00:00"/>
    <n v="20995.14"/>
    <s v="INR"/>
    <s v="Received"/>
    <s v="No"/>
    <s v="EDI"/>
    <s v="Unique"/>
    <x v="1"/>
    <n v="20995.14"/>
    <n v="0"/>
    <x v="1"/>
    <x v="1"/>
  </r>
  <r>
    <s v="IN00443"/>
    <x v="11"/>
    <s v="INV-V016-41574"/>
    <s v="PO-446968"/>
    <d v="2026-09-11T00:00:00"/>
    <d v="2026-09-26T00:00:00"/>
    <n v="42207.68"/>
    <s v="INR"/>
    <s v="On Hold"/>
    <s v="Yes"/>
    <s v="Email"/>
    <s v="Unique"/>
    <x v="1"/>
    <n v="42207.68"/>
    <n v="0"/>
    <x v="1"/>
    <x v="1"/>
  </r>
  <r>
    <s v="IN00444"/>
    <x v="3"/>
    <s v="INV-V018-70174"/>
    <s v="PO-565765"/>
    <d v="2026-07-13T00:00:00"/>
    <d v="2026-08-12T00:00:00"/>
    <n v="10153.530000000001"/>
    <s v="INR"/>
    <s v="Modified"/>
    <s v="No"/>
    <s v="Supplier Portal"/>
    <s v="Unique"/>
    <x v="1"/>
    <n v="10153.530000000001"/>
    <n v="0"/>
    <x v="1"/>
    <x v="1"/>
  </r>
  <r>
    <s v="IN00445"/>
    <x v="15"/>
    <s v="INV-V015-95638"/>
    <s v="PO-118632"/>
    <d v="2026-06-11T00:00:00"/>
    <d v="2026-06-26T00:00:00"/>
    <n v="3073.43"/>
    <s v="INR"/>
    <s v="Received"/>
    <s v="No"/>
    <s v="EDI"/>
    <s v="Unique"/>
    <x v="2"/>
    <n v="0"/>
    <n v="3073.43"/>
    <x v="2"/>
    <x v="0"/>
  </r>
  <r>
    <s v="IN00446"/>
    <x v="3"/>
    <s v="INV-V018-91142"/>
    <s v="PO-768507"/>
    <d v="2026-01-01T00:00:00"/>
    <d v="2026-01-31T00:00:00"/>
    <n v="20668.61"/>
    <s v="INR"/>
    <s v="Approved"/>
    <s v="No"/>
    <s v="Email"/>
    <s v="Unique"/>
    <x v="1"/>
    <n v="20668.61"/>
    <n v="0"/>
    <x v="1"/>
    <x v="1"/>
  </r>
  <r>
    <s v="IN00447"/>
    <x v="15"/>
    <s v="INV-V015-69566"/>
    <s v="PO-448098"/>
    <d v="2026-06-24T00:00:00"/>
    <d v="2026-07-09T00:00:00"/>
    <n v="32802.129999999997"/>
    <s v="INR"/>
    <s v="Approved"/>
    <s v="No"/>
    <s v="Supplier Portal"/>
    <s v="Unique"/>
    <x v="1"/>
    <n v="32802.129999999997"/>
    <n v="0"/>
    <x v="1"/>
    <x v="1"/>
  </r>
  <r>
    <s v="IN00448"/>
    <x v="9"/>
    <s v="INV-V012-39064"/>
    <s v="PO-102303"/>
    <d v="2026-08-20T00:00:00"/>
    <d v="2026-10-04T00:00:00"/>
    <n v="2956.9"/>
    <s v="INR"/>
    <s v="Approved"/>
    <s v="No"/>
    <s v="Supplier Portal"/>
    <s v="Unique"/>
    <x v="0"/>
    <n v="0"/>
    <n v="2956.9"/>
    <x v="0"/>
    <x v="0"/>
  </r>
  <r>
    <s v="IN00449"/>
    <x v="3"/>
    <s v="INV-V018-31516"/>
    <s v="PO-616342"/>
    <d v="2026-09-25T00:00:00"/>
    <d v="2026-10-25T00:00:00"/>
    <n v="9422.39"/>
    <s v="INR"/>
    <s v="Received"/>
    <s v="No"/>
    <s v="EDI"/>
    <s v="Unique"/>
    <x v="1"/>
    <n v="9422.39"/>
    <n v="0"/>
    <x v="1"/>
    <x v="1"/>
  </r>
  <r>
    <s v="IN00450"/>
    <x v="12"/>
    <s v="INV-V014-25826"/>
    <s v="PO-993590"/>
    <d v="2026-02-24T00:00:00"/>
    <d v="2026-04-10T00:00:00"/>
    <n v="6446.72"/>
    <s v="INR"/>
    <s v="Approved"/>
    <s v="No"/>
    <s v="Email"/>
    <s v="Unique"/>
    <x v="0"/>
    <n v="0"/>
    <n v="6446.72"/>
    <x v="0"/>
    <x v="0"/>
  </r>
  <r>
    <s v="IN00451"/>
    <x v="2"/>
    <s v="INV-V011-98098"/>
    <s v="PO-717413"/>
    <d v="2026-02-25T00:00:00"/>
    <d v="2026-03-27T00:00:00"/>
    <n v="47163.42"/>
    <s v="INR"/>
    <s v="Received"/>
    <s v="No"/>
    <s v="Supplier Portal"/>
    <s v="Unique"/>
    <x v="1"/>
    <n v="47163.42"/>
    <n v="0"/>
    <x v="1"/>
    <x v="1"/>
  </r>
  <r>
    <s v="IN00452"/>
    <x v="19"/>
    <s v="INV-V019-79515"/>
    <s v="PO-871976"/>
    <d v="2026-09-16T00:00:00"/>
    <d v="2026-10-16T00:00:00"/>
    <n v="3469.74"/>
    <s v="INR"/>
    <s v="Received"/>
    <s v="No"/>
    <s v="EDI"/>
    <s v="Unique"/>
    <x v="1"/>
    <n v="3469.74"/>
    <n v="0"/>
    <x v="1"/>
    <x v="1"/>
  </r>
  <r>
    <s v="IN00453"/>
    <x v="11"/>
    <s v="INV-V016-85832"/>
    <s v="PO-282085"/>
    <d v="2026-09-18T00:00:00"/>
    <d v="2026-10-03T00:00:00"/>
    <n v="19553.310000000001"/>
    <s v="INR"/>
    <s v="Modified"/>
    <s v="Yes"/>
    <s v="Supplier Portal"/>
    <s v="Unique"/>
    <x v="1"/>
    <n v="19553.310000000001"/>
    <n v="0"/>
    <x v="1"/>
    <x v="1"/>
  </r>
  <r>
    <s v="IN00454"/>
    <x v="17"/>
    <s v="INV-V020-89822"/>
    <s v="PO-826155"/>
    <d v="2026-06-14T00:00:00"/>
    <d v="2026-07-29T00:00:00"/>
    <n v="12662.26"/>
    <s v="INR"/>
    <s v="Modified"/>
    <s v="No"/>
    <s v="Supplier Portal"/>
    <s v="Unique"/>
    <x v="4"/>
    <n v="0"/>
    <n v="12662.26"/>
    <x v="4"/>
    <x v="0"/>
  </r>
  <r>
    <s v="IN00455"/>
    <x v="18"/>
    <s v="INV-V010-88974"/>
    <s v="PO-834018"/>
    <d v="2026-08-20T00:00:00"/>
    <d v="2026-09-04T00:00:00"/>
    <n v="20143.349999999999"/>
    <s v="INR"/>
    <s v="On Hold"/>
    <s v="No"/>
    <s v="EDI"/>
    <s v="Unique"/>
    <x v="1"/>
    <n v="20143.349999999999"/>
    <n v="0"/>
    <x v="1"/>
    <x v="1"/>
  </r>
  <r>
    <s v="IN00456"/>
    <x v="3"/>
    <s v="INV-V018-92913"/>
    <s v="PO-327900"/>
    <d v="2026-06-10T00:00:00"/>
    <d v="2026-07-10T00:00:00"/>
    <n v="17831.43"/>
    <s v="INR"/>
    <s v="Approved"/>
    <s v="No"/>
    <s v="Supplier Portal"/>
    <s v="Unique"/>
    <x v="1"/>
    <n v="17831.43"/>
    <n v="0"/>
    <x v="1"/>
    <x v="1"/>
  </r>
  <r>
    <s v="IN00457"/>
    <x v="9"/>
    <s v="INV-V012-33306"/>
    <s v="PO-628370"/>
    <d v="2026-03-09T00:00:00"/>
    <d v="2026-04-23T00:00:00"/>
    <n v="24535.63"/>
    <s v="INR"/>
    <s v="Approved"/>
    <s v="No"/>
    <s v="EDI"/>
    <s v="Unique"/>
    <x v="1"/>
    <n v="24535.63"/>
    <n v="0"/>
    <x v="1"/>
    <x v="1"/>
  </r>
  <r>
    <s v="IN00458"/>
    <x v="6"/>
    <s v="INV-V004-97445"/>
    <s v="PO-844618"/>
    <d v="2026-06-30T00:00:00"/>
    <d v="2026-07-30T00:00:00"/>
    <n v="14109.53"/>
    <s v="INR"/>
    <s v="Approved"/>
    <s v="No"/>
    <s v="EDI"/>
    <s v="Unique"/>
    <x v="0"/>
    <n v="0"/>
    <n v="14109.53"/>
    <x v="0"/>
    <x v="0"/>
  </r>
  <r>
    <s v="IN00459"/>
    <x v="18"/>
    <s v="INV-V010-13312"/>
    <s v="PO-499371"/>
    <d v="2026-08-05T00:00:00"/>
    <d v="2026-08-20T00:00:00"/>
    <n v="20230.62"/>
    <s v="INR"/>
    <s v="Received"/>
    <s v="No"/>
    <s v="Email"/>
    <s v="Unique"/>
    <x v="1"/>
    <n v="21849.07"/>
    <n v="-1618.4500000000007"/>
    <x v="1"/>
    <x v="1"/>
  </r>
  <r>
    <s v="IN00460"/>
    <x v="7"/>
    <s v="INV-V009-29192"/>
    <s v="PO-980155"/>
    <d v="2026-03-24T00:00:00"/>
    <d v="2026-04-23T00:00:00"/>
    <n v="24590.29"/>
    <s v="INR"/>
    <s v="Received"/>
    <s v="No"/>
    <s v="Email"/>
    <s v="Unique"/>
    <x v="0"/>
    <n v="0"/>
    <n v="24590.29"/>
    <x v="0"/>
    <x v="0"/>
  </r>
  <r>
    <s v="IN00461"/>
    <x v="3"/>
    <s v="INV-V018-90754"/>
    <s v="PO-808340"/>
    <d v="2026-01-17T00:00:00"/>
    <d v="2026-02-16T00:00:00"/>
    <n v="9044.02"/>
    <s v="INR"/>
    <s v="Modified"/>
    <s v="No"/>
    <s v="EDI"/>
    <s v="Unique"/>
    <x v="3"/>
    <n v="8591.82"/>
    <n v="452.20000000000073"/>
    <x v="5"/>
    <x v="0"/>
  </r>
  <r>
    <s v="IN00462"/>
    <x v="3"/>
    <s v="INV-V018-47701"/>
    <s v="PO-826596"/>
    <d v="2026-07-19T00:00:00"/>
    <d v="2026-08-18T00:00:00"/>
    <n v="6031.38"/>
    <s v="INR"/>
    <s v="Approved"/>
    <s v="No"/>
    <s v="Supplier Portal"/>
    <s v="Unique"/>
    <x v="0"/>
    <n v="0"/>
    <n v="6031.38"/>
    <x v="0"/>
    <x v="0"/>
  </r>
  <r>
    <s v="IN00463"/>
    <x v="12"/>
    <s v="INV-V014-36619"/>
    <s v="PO-750706"/>
    <d v="2026-06-10T00:00:00"/>
    <d v="2026-07-25T00:00:00"/>
    <n v="51028.45"/>
    <s v="INR"/>
    <s v="On Hold"/>
    <s v="No"/>
    <s v="Supplier Portal"/>
    <s v="Unique"/>
    <x v="1"/>
    <n v="51028.45"/>
    <n v="0"/>
    <x v="1"/>
    <x v="1"/>
  </r>
  <r>
    <s v="IN00464"/>
    <x v="1"/>
    <s v="INV-V008-89087"/>
    <s v="PO-306012"/>
    <d v="2026-07-08T00:00:00"/>
    <d v="2026-07-23T00:00:00"/>
    <n v="18907.080000000002"/>
    <s v="INR"/>
    <s v="Modified"/>
    <s v="No"/>
    <s v="Supplier Portal"/>
    <s v="Unique"/>
    <x v="1"/>
    <n v="18907.080000000002"/>
    <n v="0"/>
    <x v="1"/>
    <x v="1"/>
  </r>
  <r>
    <s v="IN00465"/>
    <x v="15"/>
    <s v="INV-V015-77350"/>
    <s v="PO-225151"/>
    <d v="2026-04-01T00:00:00"/>
    <d v="2026-04-16T00:00:00"/>
    <n v="58686.63"/>
    <s v="INR"/>
    <s v="Approved"/>
    <s v="No"/>
    <s v="EDI"/>
    <s v="Unique"/>
    <x v="0"/>
    <n v="0"/>
    <n v="58686.63"/>
    <x v="0"/>
    <x v="1"/>
  </r>
  <r>
    <s v="IN00466"/>
    <x v="7"/>
    <s v="INV-V009-10739"/>
    <s v="PO-446620"/>
    <d v="2026-03-08T00:00:00"/>
    <d v="2026-04-07T00:00:00"/>
    <n v="4123.91"/>
    <s v="INR"/>
    <s v="Approved"/>
    <s v="No"/>
    <s v="Email"/>
    <s v="Unique"/>
    <x v="0"/>
    <n v="0"/>
    <n v="4123.91"/>
    <x v="0"/>
    <x v="0"/>
  </r>
  <r>
    <s v="IN00467"/>
    <x v="16"/>
    <s v="INV-V005-91968"/>
    <s v="PO-745512"/>
    <d v="2026-06-15T00:00:00"/>
    <d v="2026-06-30T00:00:00"/>
    <n v="14970.38"/>
    <s v="INR"/>
    <s v="Modified"/>
    <s v="No"/>
    <s v="EDI"/>
    <s v="Unique"/>
    <x v="1"/>
    <n v="14970.38"/>
    <n v="0"/>
    <x v="1"/>
    <x v="1"/>
  </r>
  <r>
    <s v="IN00468"/>
    <x v="3"/>
    <s v="INV-V018-78864"/>
    <s v="PO-330646"/>
    <d v="2026-07-03T00:00:00"/>
    <d v="2026-08-02T00:00:00"/>
    <n v="1933.27"/>
    <s v="INR"/>
    <s v="On Hold"/>
    <s v="No"/>
    <s v="EDI"/>
    <s v="Unique"/>
    <x v="2"/>
    <n v="0"/>
    <n v="1933.27"/>
    <x v="2"/>
    <x v="0"/>
  </r>
  <r>
    <s v="IN00469"/>
    <x v="0"/>
    <s v="INV-V006-55796"/>
    <s v="PO-331942"/>
    <d v="2026-08-01T00:00:00"/>
    <d v="2026-08-16T00:00:00"/>
    <n v="13631.83"/>
    <s v="INR"/>
    <s v="On Hold"/>
    <s v="No"/>
    <s v="Supplier Portal"/>
    <s v="Unique"/>
    <x v="0"/>
    <n v="0"/>
    <n v="13631.83"/>
    <x v="0"/>
    <x v="0"/>
  </r>
  <r>
    <s v="IN00470"/>
    <x v="9"/>
    <s v="INV-V012-79533"/>
    <s v="PO-597923"/>
    <d v="2026-05-31T00:00:00"/>
    <d v="2026-07-15T00:00:00"/>
    <n v="5554.92"/>
    <s v="INR"/>
    <s v="On Hold"/>
    <s v="No"/>
    <s v="EDI"/>
    <s v="Unique"/>
    <x v="1"/>
    <n v="5554.92"/>
    <n v="0"/>
    <x v="1"/>
    <x v="1"/>
  </r>
  <r>
    <s v="IN00471"/>
    <x v="10"/>
    <s v="INV-V001-94182"/>
    <s v="PO-743512"/>
    <d v="2026-02-28T00:00:00"/>
    <d v="2026-03-15T00:00:00"/>
    <n v="16763.189999999999"/>
    <s v="INR"/>
    <s v="On Hold"/>
    <s v="No"/>
    <s v="Email"/>
    <s v="Unique"/>
    <x v="1"/>
    <n v="16763.189999999999"/>
    <n v="0"/>
    <x v="1"/>
    <x v="1"/>
  </r>
  <r>
    <s v="IN00472"/>
    <x v="2"/>
    <s v="INV-V011-60577"/>
    <s v="PO-369054"/>
    <d v="2026-07-15T00:00:00"/>
    <d v="2026-08-14T00:00:00"/>
    <n v="22908.400000000001"/>
    <s v="INR"/>
    <s v="Approved"/>
    <s v="No"/>
    <s v="EDI"/>
    <s v="Unique"/>
    <x v="1"/>
    <n v="22908.400000000001"/>
    <n v="0"/>
    <x v="1"/>
    <x v="1"/>
  </r>
  <r>
    <s v="IN00473"/>
    <x v="9"/>
    <s v="INV-V012-15747"/>
    <s v="PO-410833"/>
    <d v="2026-09-21T00:00:00"/>
    <d v="2026-11-05T00:00:00"/>
    <n v="20094.080000000002"/>
    <s v="INR"/>
    <s v="On Hold"/>
    <s v="No"/>
    <s v="EDI"/>
    <s v="Unique"/>
    <x v="1"/>
    <n v="20094.080000000002"/>
    <n v="0"/>
    <x v="1"/>
    <x v="1"/>
  </r>
  <r>
    <s v="IN00474"/>
    <x v="14"/>
    <s v="INV-V003-80513"/>
    <s v="PO-659106"/>
    <d v="2026-02-19T00:00:00"/>
    <d v="2026-04-05T00:00:00"/>
    <n v="4284.78"/>
    <s v="INR"/>
    <s v="Received"/>
    <s v="Yes"/>
    <s v="EDI"/>
    <s v="Unique"/>
    <x v="1"/>
    <n v="4284.78"/>
    <n v="0"/>
    <x v="1"/>
    <x v="1"/>
  </r>
  <r>
    <s v="IN00475"/>
    <x v="8"/>
    <s v="INV-V007-67047"/>
    <s v="PO-777968"/>
    <d v="2026-08-06T00:00:00"/>
    <d v="2026-09-05T00:00:00"/>
    <n v="20911.349999999999"/>
    <s v="INR"/>
    <s v="Modified"/>
    <s v="Yes"/>
    <s v="EDI"/>
    <s v="Unique"/>
    <x v="3"/>
    <n v="19238.439999999999"/>
    <n v="1672.9099999999999"/>
    <x v="5"/>
    <x v="0"/>
  </r>
  <r>
    <s v="IN00476"/>
    <x v="16"/>
    <s v="INV-V005-21471"/>
    <s v="PO-176806"/>
    <d v="2026-01-13T00:00:00"/>
    <d v="2026-01-28T00:00:00"/>
    <n v="11545.52"/>
    <s v="INR"/>
    <s v="Received"/>
    <s v="No"/>
    <s v="EDI"/>
    <s v="Unique"/>
    <x v="1"/>
    <n v="11545.52"/>
    <n v="0"/>
    <x v="1"/>
    <x v="1"/>
  </r>
  <r>
    <s v="IN00477"/>
    <x v="14"/>
    <s v="INV-V003-69129"/>
    <s v="PO-760830"/>
    <d v="2026-04-27T00:00:00"/>
    <d v="2026-06-11T00:00:00"/>
    <n v="22785.35"/>
    <s v="INR"/>
    <s v="Approved"/>
    <s v="No"/>
    <s v="Supplier Portal"/>
    <s v="Unique"/>
    <x v="1"/>
    <n v="22785.35"/>
    <n v="0"/>
    <x v="1"/>
    <x v="1"/>
  </r>
  <r>
    <s v="IN00478"/>
    <x v="6"/>
    <s v="INV-V004-18288"/>
    <s v="PO-892682"/>
    <d v="2026-10-01T00:00:00"/>
    <d v="2026-10-31T00:00:00"/>
    <n v="266.77"/>
    <s v="INR"/>
    <s v="Modified"/>
    <s v="Yes"/>
    <s v="Email"/>
    <s v="Unique"/>
    <x v="1"/>
    <n v="266.77"/>
    <n v="0"/>
    <x v="1"/>
    <x v="1"/>
  </r>
  <r>
    <s v="IN00479"/>
    <x v="9"/>
    <s v="INV-V012-49498"/>
    <s v="PO-736030"/>
    <d v="2026-09-15T00:00:00"/>
    <d v="2026-10-30T00:00:00"/>
    <n v="2760.65"/>
    <s v="INR"/>
    <s v="Received"/>
    <s v="No"/>
    <s v="Supplier Portal"/>
    <s v="Unique"/>
    <x v="3"/>
    <n v="2539.8000000000002"/>
    <n v="220.84999999999991"/>
    <x v="5"/>
    <x v="0"/>
  </r>
  <r>
    <s v="IN00480"/>
    <x v="5"/>
    <s v="INV-V013-38818"/>
    <s v="PO-243006"/>
    <d v="2026-07-22T00:00:00"/>
    <d v="2026-08-06T00:00:00"/>
    <n v="30471.32"/>
    <s v="INR"/>
    <s v="Modified"/>
    <s v="No"/>
    <s v="EDI"/>
    <s v="Unique"/>
    <x v="1"/>
    <n v="32909.03"/>
    <n v="-2437.7099999999991"/>
    <x v="1"/>
    <x v="1"/>
  </r>
  <r>
    <s v="IN00481"/>
    <x v="18"/>
    <s v="INV-V010-94926"/>
    <s v="PO-491255"/>
    <d v="2026-03-15T00:00:00"/>
    <d v="2026-03-30T00:00:00"/>
    <n v="7535.65"/>
    <s v="INR"/>
    <s v="On Hold"/>
    <s v="Yes"/>
    <s v="EDI"/>
    <s v="Unique"/>
    <x v="3"/>
    <n v="4521.3900000000003"/>
    <n v="3014.2599999999993"/>
    <x v="5"/>
    <x v="0"/>
  </r>
  <r>
    <s v="IN00482"/>
    <x v="16"/>
    <s v="INV-V005-61653"/>
    <s v="PO-663244"/>
    <d v="2026-03-05T00:00:00"/>
    <d v="2026-03-20T00:00:00"/>
    <n v="1159.32"/>
    <s v="INR"/>
    <s v="Approved"/>
    <s v="Yes"/>
    <s v="Email"/>
    <s v="Unique"/>
    <x v="0"/>
    <n v="0"/>
    <n v="1159.32"/>
    <x v="0"/>
    <x v="0"/>
  </r>
  <r>
    <s v="IN00483"/>
    <x v="9"/>
    <s v="INV-V012-77181"/>
    <s v="PO-249375"/>
    <d v="2026-04-19T00:00:00"/>
    <d v="2026-06-03T00:00:00"/>
    <n v="10386.84"/>
    <s v="INR"/>
    <s v="Received"/>
    <s v="No"/>
    <s v="Supplier Portal"/>
    <s v="Unique"/>
    <x v="0"/>
    <n v="0"/>
    <n v="10386.84"/>
    <x v="0"/>
    <x v="0"/>
  </r>
  <r>
    <s v="IN00484"/>
    <x v="8"/>
    <s v="INV-V007-17128"/>
    <s v="PO-992744"/>
    <d v="2026-02-28T00:00:00"/>
    <d v="2026-03-30T00:00:00"/>
    <n v="4632.1899999999996"/>
    <s v="INR"/>
    <s v="Modified"/>
    <s v="No"/>
    <s v="EDI"/>
    <s v="Unique"/>
    <x v="0"/>
    <n v="0"/>
    <n v="4632.1899999999996"/>
    <x v="0"/>
    <x v="0"/>
  </r>
  <r>
    <s v="IN00485"/>
    <x v="15"/>
    <s v="INV-V015-42858"/>
    <s v="PO-202972"/>
    <d v="2026-10-09T00:00:00"/>
    <d v="2026-10-24T00:00:00"/>
    <n v="1939.84"/>
    <s v="INR"/>
    <s v="Received"/>
    <s v="No"/>
    <s v="Supplier Portal"/>
    <s v="Unique"/>
    <x v="4"/>
    <n v="0"/>
    <n v="1939.84"/>
    <x v="4"/>
    <x v="0"/>
  </r>
  <r>
    <s v="IN00486"/>
    <x v="9"/>
    <s v="INV-V012-47373"/>
    <s v="PO-749609"/>
    <d v="2026-03-07T00:00:00"/>
    <d v="2026-04-21T00:00:00"/>
    <n v="16821.830000000002"/>
    <s v="INR"/>
    <s v="Received"/>
    <s v="No"/>
    <s v="Supplier Portal"/>
    <s v="Unique"/>
    <x v="2"/>
    <n v="0"/>
    <n v="16821.830000000002"/>
    <x v="2"/>
    <x v="0"/>
  </r>
  <r>
    <s v="IN00487"/>
    <x v="15"/>
    <s v="INV-V015-86568"/>
    <s v="PO-259797"/>
    <d v="2026-06-18T00:00:00"/>
    <d v="2026-07-03T00:00:00"/>
    <n v="15454.6"/>
    <s v="INR"/>
    <s v="Approved"/>
    <s v="No"/>
    <s v="Supplier Portal"/>
    <s v="Unique"/>
    <x v="1"/>
    <n v="15454.6"/>
    <n v="0"/>
    <x v="1"/>
    <x v="1"/>
  </r>
  <r>
    <s v="IN00488"/>
    <x v="12"/>
    <s v="INV-V014-39035"/>
    <s v="PO-846794"/>
    <d v="2026-03-28T00:00:00"/>
    <d v="2026-05-12T00:00:00"/>
    <n v="240.22"/>
    <s v="INR"/>
    <s v="Modified"/>
    <s v="No"/>
    <s v="Supplier Portal"/>
    <s v="Unique"/>
    <x v="1"/>
    <n v="240.22"/>
    <n v="0"/>
    <x v="1"/>
    <x v="1"/>
  </r>
  <r>
    <s v="IN00489"/>
    <x v="16"/>
    <s v="INV-V005-57020"/>
    <s v="PO-912402"/>
    <d v="2026-06-19T00:00:00"/>
    <d v="2026-07-04T00:00:00"/>
    <n v="21961.8"/>
    <s v="INR"/>
    <s v="Approved"/>
    <s v="No"/>
    <s v="Email"/>
    <s v="Unique"/>
    <x v="2"/>
    <n v="0"/>
    <n v="21961.8"/>
    <x v="2"/>
    <x v="0"/>
  </r>
  <r>
    <s v="IN00490"/>
    <x v="17"/>
    <s v="INV-V020-28350"/>
    <s v="PO-664781"/>
    <d v="2026-02-11T00:00:00"/>
    <d v="2026-03-28T00:00:00"/>
    <n v="21063.81"/>
    <s v="INR"/>
    <s v="Received"/>
    <s v="No"/>
    <s v="EDI"/>
    <s v="Unique"/>
    <x v="1"/>
    <n v="22748.91"/>
    <n v="-1685.0999999999985"/>
    <x v="1"/>
    <x v="1"/>
  </r>
  <r>
    <s v="IN00491"/>
    <x v="14"/>
    <s v="INV-V003-92788"/>
    <s v="PO-132709"/>
    <d v="2026-02-08T00:00:00"/>
    <d v="2026-03-25T00:00:00"/>
    <n v="22315.58"/>
    <s v="INR"/>
    <s v="Modified"/>
    <s v="No"/>
    <s v="EDI"/>
    <s v="Unique"/>
    <x v="1"/>
    <n v="22315.58"/>
    <n v="0"/>
    <x v="1"/>
    <x v="1"/>
  </r>
  <r>
    <s v="IN00492"/>
    <x v="8"/>
    <s v="INV-V007-80736"/>
    <s v="PO-595036"/>
    <d v="2026-01-19T00:00:00"/>
    <d v="2026-02-18T00:00:00"/>
    <n v="13843.66"/>
    <s v="INR"/>
    <s v="Approved"/>
    <s v="No"/>
    <s v="Supplier Portal"/>
    <s v="Unique"/>
    <x v="1"/>
    <n v="13843.66"/>
    <n v="0"/>
    <x v="1"/>
    <x v="1"/>
  </r>
  <r>
    <s v="IN00493"/>
    <x v="1"/>
    <s v="INV-V008-21869"/>
    <s v="PO-516059"/>
    <d v="2026-05-29T00:00:00"/>
    <d v="2026-06-13T00:00:00"/>
    <n v="3450.97"/>
    <s v="INR"/>
    <s v="Approved"/>
    <s v="Yes"/>
    <s v="Email"/>
    <s v="Unique"/>
    <x v="0"/>
    <n v="0"/>
    <n v="3450.97"/>
    <x v="0"/>
    <x v="0"/>
  </r>
  <r>
    <s v="IN00494"/>
    <x v="17"/>
    <s v="INV-V020-30869"/>
    <s v="PO-287847"/>
    <d v="2026-03-26T00:00:00"/>
    <d v="2026-05-10T00:00:00"/>
    <n v="18959.29"/>
    <s v="INR"/>
    <s v="Approved"/>
    <s v="No"/>
    <s v="Email"/>
    <s v="Unique"/>
    <x v="0"/>
    <n v="0"/>
    <n v="18959.29"/>
    <x v="0"/>
    <x v="0"/>
  </r>
  <r>
    <s v="IN00495"/>
    <x v="11"/>
    <s v="INV-V016-40375"/>
    <s v="PO-165914"/>
    <d v="2026-07-03T00:00:00"/>
    <d v="2026-07-18T00:00:00"/>
    <n v="1125.6500000000001"/>
    <s v="INR"/>
    <s v="Approved"/>
    <s v="No"/>
    <s v="EDI"/>
    <s v="Unique"/>
    <x v="1"/>
    <n v="1125.6500000000001"/>
    <n v="0"/>
    <x v="1"/>
    <x v="1"/>
  </r>
  <r>
    <s v="IN00496"/>
    <x v="8"/>
    <s v="INV-V007-71561"/>
    <s v="PO-576728"/>
    <d v="2026-09-23T00:00:00"/>
    <d v="2026-10-23T00:00:00"/>
    <n v="22704.23"/>
    <s v="INR"/>
    <s v="On Hold"/>
    <s v="Yes"/>
    <s v="EDI"/>
    <s v="Unique"/>
    <x v="3"/>
    <n v="21569.02"/>
    <n v="1135.2099999999991"/>
    <x v="5"/>
    <x v="0"/>
  </r>
  <r>
    <s v="IN00497"/>
    <x v="2"/>
    <s v="INV-V011-45847"/>
    <s v="PO-975427"/>
    <d v="2026-02-22T00:00:00"/>
    <d v="2026-03-24T00:00:00"/>
    <n v="17628.96"/>
    <s v="INR"/>
    <s v="Modified"/>
    <s v="No"/>
    <s v="EDI"/>
    <s v="Unique"/>
    <x v="1"/>
    <n v="17628.96"/>
    <n v="0"/>
    <x v="1"/>
    <x v="1"/>
  </r>
  <r>
    <s v="IN00498"/>
    <x v="0"/>
    <s v="INV-V006-95634"/>
    <s v="PO-976052"/>
    <d v="2026-07-12T00:00:00"/>
    <d v="2026-07-27T00:00:00"/>
    <n v="16383.44"/>
    <s v="INR"/>
    <s v="Received"/>
    <s v="No"/>
    <s v="Email"/>
    <s v="Unique"/>
    <x v="1"/>
    <n v="16383.44"/>
    <n v="0"/>
    <x v="1"/>
    <x v="1"/>
  </r>
  <r>
    <s v="IN00499"/>
    <x v="4"/>
    <s v="INV-V017-73813"/>
    <s v="PO-931161"/>
    <d v="2026-07-27T00:00:00"/>
    <d v="2026-08-26T00:00:00"/>
    <n v="8900.1"/>
    <s v="INR"/>
    <s v="Approved"/>
    <s v="No"/>
    <s v="EDI"/>
    <s v="Unique"/>
    <x v="0"/>
    <n v="0"/>
    <n v="8900.1"/>
    <x v="0"/>
    <x v="0"/>
  </r>
  <r>
    <s v="IN00500"/>
    <x v="16"/>
    <s v="INV-V005-37723"/>
    <s v="PO-257538"/>
    <d v="2026-08-14T00:00:00"/>
    <d v="2026-08-29T00:00:00"/>
    <n v="47521.7"/>
    <s v="INR"/>
    <s v="Received"/>
    <s v="No"/>
    <s v="EDI"/>
    <s v="Unique"/>
    <x v="1"/>
    <n v="47521.7"/>
    <n v="0"/>
    <x v="1"/>
    <x v="1"/>
  </r>
  <r>
    <s v="IN00501"/>
    <x v="0"/>
    <s v="INV-V006-21539"/>
    <s v="PO-235691"/>
    <d v="2026-03-23T00:00:00"/>
    <d v="2026-04-22T00:00:00"/>
    <n v="12300.68"/>
    <s v="INR"/>
    <s v="Approved"/>
    <s v="No"/>
    <s v="Supplier Portal"/>
    <s v="Duplicate"/>
    <x v="2"/>
    <n v="0"/>
    <n v="12300.68"/>
    <x v="3"/>
    <x v="0"/>
  </r>
  <r>
    <s v="IN00502"/>
    <x v="1"/>
    <s v="INV-V008-38569"/>
    <s v="PO-587623"/>
    <d v="2026-03-06T00:00:00"/>
    <d v="2026-04-05T00:00:00"/>
    <n v="11902.2"/>
    <s v="INR"/>
    <s v="Modified"/>
    <s v="No"/>
    <s v="Email"/>
    <s v="Duplicate"/>
    <x v="1"/>
    <n v="11902.2"/>
    <n v="0"/>
    <x v="3"/>
    <x v="1"/>
  </r>
  <r>
    <s v="IN00503"/>
    <x v="6"/>
    <s v="INV-V004-78662"/>
    <s v="PO-166974"/>
    <d v="2026-01-18T00:00:00"/>
    <d v="2026-02-17T00:00:00"/>
    <n v="8455.07"/>
    <s v="INR"/>
    <s v="Approved"/>
    <s v="No"/>
    <s v="EDI"/>
    <s v="Duplicate"/>
    <x v="2"/>
    <n v="0"/>
    <n v="8455.07"/>
    <x v="3"/>
    <x v="0"/>
  </r>
  <r>
    <s v="IN00504"/>
    <x v="1"/>
    <s v="INV-V008-49608"/>
    <s v="PO-780776"/>
    <d v="2026-02-04T00:00:00"/>
    <d v="2026-03-06T00:00:00"/>
    <n v="15928.85"/>
    <s v="INR"/>
    <s v="Approved"/>
    <s v="Yes"/>
    <s v="Email"/>
    <s v="Duplicate"/>
    <x v="1"/>
    <n v="15928.85"/>
    <n v="0"/>
    <x v="3"/>
    <x v="1"/>
  </r>
  <r>
    <s v="IN00505"/>
    <x v="16"/>
    <s v="INV-V005-61505"/>
    <s v="PO-746447"/>
    <d v="2026-06-17T00:00:00"/>
    <d v="2026-07-17T00:00:00"/>
    <n v="23292.45"/>
    <s v="INR"/>
    <s v="Modified"/>
    <s v="No"/>
    <s v="Supplier Portal"/>
    <s v="Duplicate"/>
    <x v="0"/>
    <n v="0"/>
    <n v="23292.45"/>
    <x v="3"/>
    <x v="0"/>
  </r>
  <r>
    <s v="IN00506"/>
    <x v="19"/>
    <s v="INV-V019-25704"/>
    <s v="PO-813763"/>
    <d v="2026-02-08T00:00:00"/>
    <d v="2026-03-10T00:00:00"/>
    <n v="11868.83"/>
    <s v="INR"/>
    <s v="Approved"/>
    <s v="No"/>
    <s v="Email"/>
    <s v="Duplicate"/>
    <x v="1"/>
    <n v="11868.83"/>
    <n v="0"/>
    <x v="3"/>
    <x v="1"/>
  </r>
  <r>
    <s v="IN00507"/>
    <x v="9"/>
    <s v="INV-V012-95191"/>
    <s v="PO-451577"/>
    <d v="2026-04-25T00:00:00"/>
    <d v="2026-05-25T00:00:00"/>
    <n v="821.31"/>
    <s v="INR"/>
    <s v="Modified"/>
    <s v="Yes"/>
    <s v="Supplier Portal"/>
    <s v="Duplicate"/>
    <x v="1"/>
    <n v="821.31"/>
    <n v="0"/>
    <x v="3"/>
    <x v="1"/>
  </r>
  <r>
    <s v="IN00508"/>
    <x v="19"/>
    <s v="INV-V019-74517"/>
    <s v="PO-668458"/>
    <d v="2026-03-14T00:00:00"/>
    <d v="2026-04-13T00:00:00"/>
    <n v="14130.15"/>
    <s v="INR"/>
    <s v="Approved"/>
    <s v="No"/>
    <s v="Email"/>
    <s v="Duplicate"/>
    <x v="1"/>
    <n v="14130.15"/>
    <n v="0"/>
    <x v="3"/>
    <x v="1"/>
  </r>
  <r>
    <s v="IN00509"/>
    <x v="7"/>
    <s v="INV-V009-12540"/>
    <s v="PO-885408"/>
    <d v="2026-08-04T00:00:00"/>
    <d v="2026-09-03T00:00:00"/>
    <n v="6396.52"/>
    <s v="INR"/>
    <s v="Approved"/>
    <s v="No"/>
    <s v="Supplier Portal"/>
    <s v="Duplicate"/>
    <x v="2"/>
    <n v="0"/>
    <n v="6396.52"/>
    <x v="3"/>
    <x v="0"/>
  </r>
  <r>
    <s v="IN00510"/>
    <x v="9"/>
    <s v="INV-V012-24790"/>
    <s v="PO-133782"/>
    <d v="2026-03-22T00:00:00"/>
    <d v="2026-04-21T00:00:00"/>
    <n v="6978.17"/>
    <s v="INR"/>
    <s v="Modified"/>
    <s v="No"/>
    <s v="Email"/>
    <s v="Duplicate"/>
    <x v="2"/>
    <n v="0"/>
    <n v="6978.17"/>
    <x v="3"/>
    <x v="0"/>
  </r>
  <r>
    <s v="IN00511"/>
    <x v="17"/>
    <s v="INV-V020-74665"/>
    <s v="PO-910143"/>
    <d v="2026-05-05T00:00:00"/>
    <d v="2026-06-04T00:00:00"/>
    <n v="11662.5"/>
    <s v="INR"/>
    <s v="Modified"/>
    <s v="No"/>
    <s v="EDI"/>
    <s v="Duplicate"/>
    <x v="1"/>
    <n v="11662.5"/>
    <n v="0"/>
    <x v="3"/>
    <x v="1"/>
  </r>
  <r>
    <s v="IN00512"/>
    <x v="10"/>
    <s v="INV-V001-65591"/>
    <s v="PO-657772"/>
    <d v="2026-06-04T00:00:00"/>
    <d v="2026-07-04T00:00:00"/>
    <n v="11639.54"/>
    <s v="INR"/>
    <s v="Approved"/>
    <s v="No"/>
    <s v="Supplier Portal"/>
    <s v="Duplicate"/>
    <x v="4"/>
    <n v="0"/>
    <n v="11639.54"/>
    <x v="3"/>
    <x v="0"/>
  </r>
  <r>
    <s v="IN00513"/>
    <x v="19"/>
    <s v="INV-V019-42780"/>
    <s v="PO-579027"/>
    <d v="2026-06-04T00:00:00"/>
    <d v="2026-07-04T00:00:00"/>
    <n v="16016.79"/>
    <s v="INR"/>
    <s v="Modified"/>
    <s v="No"/>
    <s v="Supplier Portal"/>
    <s v="Duplicate"/>
    <x v="1"/>
    <n v="16016.79"/>
    <n v="0"/>
    <x v="3"/>
    <x v="1"/>
  </r>
  <r>
    <s v="IN00514"/>
    <x v="17"/>
    <s v="INV-V020-41270"/>
    <s v="PO-420214"/>
    <d v="2026-02-15T00:00:00"/>
    <d v="2026-03-17T00:00:00"/>
    <n v="16842.099999999999"/>
    <s v="INR"/>
    <s v="Received"/>
    <s v="No"/>
    <s v="Email"/>
    <s v="Duplicate"/>
    <x v="1"/>
    <n v="16842.099999999999"/>
    <n v="0"/>
    <x v="3"/>
    <x v="1"/>
  </r>
  <r>
    <s v="IN00515"/>
    <x v="19"/>
    <s v="INV-V019-94886"/>
    <s v="PO-256226"/>
    <d v="2026-04-14T00:00:00"/>
    <d v="2026-05-14T00:00:00"/>
    <n v="10697.46"/>
    <s v="INR"/>
    <s v="On Hold"/>
    <s v="No"/>
    <s v="Email"/>
    <s v="Duplicate"/>
    <x v="0"/>
    <n v="0"/>
    <n v="10697.46"/>
    <x v="3"/>
    <x v="0"/>
  </r>
  <r>
    <s v="IN00516"/>
    <x v="12"/>
    <s v="INV-V014-71736"/>
    <s v="PO-907788"/>
    <d v="2026-07-09T00:00:00"/>
    <d v="2026-08-08T00:00:00"/>
    <n v="13713.34"/>
    <s v="INR"/>
    <s v="Received"/>
    <s v="No"/>
    <s v="Email"/>
    <s v="Duplicate"/>
    <x v="4"/>
    <n v="0"/>
    <n v="13713.34"/>
    <x v="3"/>
    <x v="0"/>
  </r>
  <r>
    <s v="IN00517"/>
    <x v="6"/>
    <s v="INV-V004-36934"/>
    <s v="PO-828961"/>
    <d v="2026-10-08T00:00:00"/>
    <d v="2026-11-07T00:00:00"/>
    <n v="6408.13"/>
    <s v="INR"/>
    <s v="Modified"/>
    <s v="Yes"/>
    <s v="Supplier Portal"/>
    <s v="Duplicate"/>
    <x v="1"/>
    <n v="6408.13"/>
    <n v="0"/>
    <x v="3"/>
    <x v="1"/>
  </r>
  <r>
    <s v="IN00518"/>
    <x v="9"/>
    <s v="INV-V012-28909"/>
    <s v="PO-308727"/>
    <d v="2026-06-25T00:00:00"/>
    <d v="2026-07-25T00:00:00"/>
    <n v="13998.86"/>
    <s v="INR"/>
    <s v="Approved"/>
    <s v="No"/>
    <s v="Email"/>
    <s v="Duplicate"/>
    <x v="2"/>
    <n v="0"/>
    <n v="13998.86"/>
    <x v="3"/>
    <x v="0"/>
  </r>
  <r>
    <s v="IN00519"/>
    <x v="8"/>
    <s v="INV-V007-50857"/>
    <s v="PO-518373"/>
    <d v="2026-10-06T00:00:00"/>
    <d v="2026-11-05T00:00:00"/>
    <n v="18911"/>
    <s v="INR"/>
    <s v="On Hold"/>
    <s v="No"/>
    <s v="Supplier Portal"/>
    <s v="Duplicate"/>
    <x v="1"/>
    <n v="18911"/>
    <n v="0"/>
    <x v="3"/>
    <x v="1"/>
  </r>
  <r>
    <s v="IN00520"/>
    <x v="16"/>
    <s v="INV-V005-27038"/>
    <s v="PO-666456"/>
    <d v="2026-01-04T00:00:00"/>
    <d v="2026-02-03T00:00:00"/>
    <n v="7018.6"/>
    <s v="INR"/>
    <s v="Approved"/>
    <s v="No"/>
    <s v="EDI"/>
    <s v="Duplicate"/>
    <x v="1"/>
    <n v="7018.6"/>
    <n v="0"/>
    <x v="3"/>
    <x v="1"/>
  </r>
  <r>
    <s v="IN00521"/>
    <x v="14"/>
    <s v="INV-V003-25713"/>
    <s v="PO-697347"/>
    <d v="2026-02-05T00:00:00"/>
    <d v="2026-03-07T00:00:00"/>
    <n v="16919.29"/>
    <s v="INR"/>
    <s v="Approved"/>
    <s v="No"/>
    <s v="EDI"/>
    <s v="Duplicate"/>
    <x v="1"/>
    <n v="16919.29"/>
    <n v="0"/>
    <x v="3"/>
    <x v="1"/>
  </r>
  <r>
    <s v="IN00522"/>
    <x v="16"/>
    <s v="INV-V005-95256"/>
    <s v="PO-383201"/>
    <d v="2026-08-11T00:00:00"/>
    <d v="2026-09-10T00:00:00"/>
    <n v="4502.29"/>
    <s v="INR"/>
    <s v="Approved"/>
    <s v="No"/>
    <s v="Supplier Portal"/>
    <s v="Duplicate"/>
    <x v="1"/>
    <n v="4502.29"/>
    <n v="0"/>
    <x v="3"/>
    <x v="1"/>
  </r>
  <r>
    <s v="IN00523"/>
    <x v="9"/>
    <s v="INV-V012-75597"/>
    <s v="PO-258067"/>
    <d v="2026-07-20T00:00:00"/>
    <d v="2026-08-19T00:00:00"/>
    <n v="11641.01"/>
    <s v="INR"/>
    <s v="Approved"/>
    <s v="Yes"/>
    <s v="Email"/>
    <s v="Duplicate"/>
    <x v="1"/>
    <n v="11641.01"/>
    <n v="0"/>
    <x v="3"/>
    <x v="1"/>
  </r>
  <r>
    <s v="IN00524"/>
    <x v="4"/>
    <s v="INV-V017-60293"/>
    <s v="PO-543588"/>
    <d v="2026-07-19T00:00:00"/>
    <d v="2026-08-18T00:00:00"/>
    <n v="10525.79"/>
    <s v="INR"/>
    <s v="Received"/>
    <s v="No"/>
    <s v="EDI"/>
    <s v="Duplicate"/>
    <x v="1"/>
    <n v="10525.79"/>
    <n v="0"/>
    <x v="3"/>
    <x v="1"/>
  </r>
  <r>
    <m/>
    <x v="20"/>
    <m/>
    <m/>
    <m/>
    <m/>
    <m/>
    <m/>
    <m/>
    <m/>
    <m/>
    <m/>
    <x v="5"/>
    <m/>
    <m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93219-5B6D-4A97-B513-6E63AAB2103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8">
        <item x="5"/>
        <item x="3"/>
        <item x="4"/>
        <item x="1"/>
        <item x="2"/>
        <item x="0"/>
        <item h="1" x="6"/>
        <item t="default"/>
      </items>
    </pivotField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voic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D2031-A15A-44C7-AA01-A250F4133CF0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numFmtId="1"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voic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6837-A761-4157-BE51-6C56FC3F413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5" firstHeaderRow="1" firstDataRow="2" firstDataCol="1"/>
  <pivotFields count="17">
    <pivotField showAll="0"/>
    <pivotField axis="axisRow" showAll="0" measureFilter="1" sortType="ascending">
      <items count="22">
        <item x="10"/>
        <item x="13"/>
        <item x="14"/>
        <item x="6"/>
        <item x="16"/>
        <item x="0"/>
        <item x="8"/>
        <item x="1"/>
        <item x="7"/>
        <item x="18"/>
        <item x="2"/>
        <item x="9"/>
        <item x="5"/>
        <item x="12"/>
        <item x="15"/>
        <item x="11"/>
        <item x="4"/>
        <item x="3"/>
        <item x="19"/>
        <item x="1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axis="axisCol" showAll="0">
      <items count="4">
        <item h="1" x="1"/>
        <item x="0"/>
        <item h="1" x="2"/>
        <item t="default"/>
      </items>
    </pivotField>
  </pivotFields>
  <rowFields count="1">
    <field x="1"/>
  </rowFields>
  <rowItems count="11">
    <i>
      <x v="2"/>
    </i>
    <i>
      <x v="18"/>
    </i>
    <i>
      <x v="11"/>
    </i>
    <i>
      <x v="12"/>
    </i>
    <i>
      <x v="3"/>
    </i>
    <i>
      <x/>
    </i>
    <i>
      <x v="9"/>
    </i>
    <i>
      <x v="14"/>
    </i>
    <i>
      <x v="4"/>
    </i>
    <i>
      <x v="13"/>
    </i>
    <i t="grand">
      <x/>
    </i>
  </rowItems>
  <colFields count="1">
    <field x="16"/>
  </colFields>
  <colItems count="2">
    <i>
      <x v="1"/>
    </i>
    <i t="grand">
      <x/>
    </i>
  </colItems>
  <dataFields count="1">
    <dataField name="Sum of Amount Difference" fld="14" baseField="0" baseItem="0"/>
  </dataFields>
  <formats count="2">
    <format dxfId="37">
      <pivotArea grandCol="1" outline="0" collapsedLevelsAreSubtotals="1" fieldPosition="0"/>
    </format>
    <format dxfId="36">
      <pivotArea collapsedLevelsAreSubtotals="1" fieldPosition="0">
        <references count="2">
          <reference field="1" count="10">
            <x v="0"/>
            <x v="2"/>
            <x v="3"/>
            <x v="4"/>
            <x v="9"/>
            <x v="11"/>
            <x v="12"/>
            <x v="13"/>
            <x v="14"/>
            <x v="18"/>
          </reference>
          <reference field="16" count="0" selected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A6F18-729C-48C1-B900-A45BF450CC0A}" name="tblInvoices" displayName="tblInvoices" ref="A1:K525" totalsRowShown="0" headerRowDxfId="54" headerRowBorderDxfId="57" tableBorderDxfId="58">
  <autoFilter ref="A1:K525" xr:uid="{00000000-0009-0000-0000-000001000000}"/>
  <tableColumns count="11">
    <tableColumn id="1" xr3:uid="{5AED5B36-C671-433D-A5C4-70807B0153C6}" name="Invoice_ID"/>
    <tableColumn id="2" xr3:uid="{CA20B33F-726B-4851-9FD6-6E1CCCDD6465}" name="Vendor_ID"/>
    <tableColumn id="3" xr3:uid="{59B00E09-B5D8-49F4-BB8E-346B9BF80356}" name="Invoice_Number"/>
    <tableColumn id="4" xr3:uid="{9285D21C-7A58-42D3-AF90-2F083F8A3983}" name="PO_Number"/>
    <tableColumn id="5" xr3:uid="{193A8AE4-C5E6-4993-B390-11864BCF1550}" name="Invoice_Date" dataDxfId="56"/>
    <tableColumn id="6" xr3:uid="{AB40C332-DE8D-4166-BE13-C71FE060AA06}" name="Due_Date" dataDxfId="55"/>
    <tableColumn id="7" xr3:uid="{0020CA17-A01C-4F87-9AFD-A07EADDA7A54}" name="Invoice_Amount"/>
    <tableColumn id="8" xr3:uid="{03DF1584-8CBF-4720-81A1-6545DD7E8FEB}" name="Currency"/>
    <tableColumn id="9" xr3:uid="{B43A540F-606B-4381-973B-70A93D18A998}" name="Invoice_Status"/>
    <tableColumn id="10" xr3:uid="{F6937928-9FAA-4A51-85DA-B5687F52AAF7}" name="Modification_Required"/>
    <tableColumn id="11" xr3:uid="{16C20DB9-2EED-4180-AAC1-7615A847510E}" name="Source_Channel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C11BC-EA59-4204-A93F-4E1413F597CB}" name="tblPayments" displayName="tblPayments" ref="A1:I421" totalsRowShown="0" headerRowDxfId="39" dataDxfId="38" headerRowBorderDxfId="52" tableBorderDxfId="53">
  <autoFilter ref="A1:I421" xr:uid="{00000000-0009-0000-0000-000002000000}"/>
  <tableColumns count="9">
    <tableColumn id="1" xr3:uid="{4B54109F-3AB3-464E-AA8D-C3CF7007E18E}" name="Payment_ID" dataDxfId="48"/>
    <tableColumn id="2" xr3:uid="{ED9C4A09-4909-44F9-9100-D84D4D997C0D}" name="Invoice_ID" dataDxfId="47"/>
    <tableColumn id="3" xr3:uid="{AB7CD4BF-E1A6-4105-97DD-8E3C76142469}" name="Vendor_ID" dataDxfId="46"/>
    <tableColumn id="4" xr3:uid="{90E80E96-DB4F-4C9F-A3CF-0700D8B43AB4}" name="Payment_Date" dataDxfId="45"/>
    <tableColumn id="5" xr3:uid="{2B533C1F-87DB-4834-8948-A7C17B9ED2F6}" name="Payment_Amount" dataDxfId="44"/>
    <tableColumn id="6" xr3:uid="{3DD8D416-B48D-4CD9-9A1F-3BC7D7BD46FD}" name="Payment_Status" dataDxfId="43"/>
    <tableColumn id="7" xr3:uid="{ED310A1F-4789-45AB-B426-09D381203686}" name="Failure_or_Pending_Reason" dataDxfId="42"/>
    <tableColumn id="8" xr3:uid="{739EDCA1-8713-4F10-B8E7-A3BDBE033CA3}" name="Payment_Method" dataDxfId="41"/>
    <tableColumn id="9" xr3:uid="{0EF74B07-5D44-4427-A61A-1530F3CA1F96}" name="Attempt_Number" dataDxfId="4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9E1A88-7728-436C-9E7D-7BBA3BA5D6D6}" name="tblInvoiceAnalysis" displayName="tblInvoiceAnalysis" ref="A1:R527" totalsRowCount="1" headerRowDxfId="49" dataDxfId="50" tableBorderDxfId="51">
  <autoFilter ref="A1:R526" xr:uid="{299E1A88-7728-436C-9E7D-7BBA3BA5D6D6}"/>
  <tableColumns count="18">
    <tableColumn id="1" xr3:uid="{540F117B-06B4-4A2E-A224-DEB3A6730856}" name="Invoice_ID" dataDxfId="35" totalsRowDxfId="17"/>
    <tableColumn id="2" xr3:uid="{AD1E15E2-159F-421B-A0FD-7153A1B99B6B}" name="Vendor_ID" dataDxfId="34" totalsRowDxfId="16"/>
    <tableColumn id="3" xr3:uid="{93E1188E-B002-4048-94B6-0F90770F288D}" name="Invoice_Number" dataDxfId="33" totalsRowDxfId="15"/>
    <tableColumn id="4" xr3:uid="{A129E027-EB4F-4B0C-B4AB-69EB1AD434BD}" name="PO_Number" dataDxfId="32" totalsRowDxfId="14"/>
    <tableColumn id="5" xr3:uid="{19B4A7C1-57C0-4E9D-9077-FE4ED683250A}" name="Invoice_Date" dataDxfId="31" totalsRowDxfId="13"/>
    <tableColumn id="6" xr3:uid="{1AAB19B2-6E42-44BD-BA17-8B0B462ECE59}" name="Due_Date" dataDxfId="30" totalsRowDxfId="12"/>
    <tableColumn id="7" xr3:uid="{B90F750D-5CCC-4FF9-AA9A-3A147C52EC00}" name="Invoice_Amount" dataDxfId="29" totalsRowDxfId="11"/>
    <tableColumn id="8" xr3:uid="{A8CC43E1-C87A-43A6-BACC-15CADC04F306}" name="Currency" dataDxfId="28" totalsRowDxfId="10"/>
    <tableColumn id="9" xr3:uid="{7845B7D6-410C-4577-BF68-62A17CA4B126}" name="Invoice_Status" dataDxfId="27" totalsRowDxfId="9"/>
    <tableColumn id="10" xr3:uid="{34088FCF-3405-4EAE-819C-2A6C93C4ACEF}" name="Modification_Required" dataDxfId="26" totalsRowDxfId="8"/>
    <tableColumn id="11" xr3:uid="{8EC7C707-0446-4663-8C4B-20134B7B5BE6}" name="Source_Channel" dataDxfId="25" totalsRowDxfId="7"/>
    <tableColumn id="12" xr3:uid="{DD85BF37-B6B9-4E48-B76B-03B390E7C5D6}" name="Duplicate Flag" dataDxfId="24" totalsRowDxfId="6"/>
    <tableColumn id="13" xr3:uid="{BD202897-680E-493E-BBE7-C651E4CB47F3}" name="Payment Status" dataDxfId="23" totalsRowDxfId="5">
      <calculatedColumnFormula>IF(COUNTIF(Payments_Raw!$B:$B,A2)=0,"Unpaid",IF(N2&gt;=G2,"Paid",IF(N2&gt;0,"Partial Payment",IF(COUNTIFS(Payments_Raw!$B:$B,A2,Payments_Raw!$F:$F,"Failed")&gt;0,"Failed",IF(COUNTIFS(Payments_Raw!$B:$B,A2,Payments_Raw!$F:$F,"Pending")&gt;0,"Pending","Unpaid")))))</calculatedColumnFormula>
    </tableColumn>
    <tableColumn id="14" xr3:uid="{7225C671-3EDA-41DE-81D7-EE795FB71839}" name="Total Paid" dataDxfId="22" totalsRowDxfId="4">
      <calculatedColumnFormula>SUMIFS(Payments_Raw!$E:$E,Payments_Raw!$B:$B,A2,Payments_Raw!$F:$F,"Successful")</calculatedColumnFormula>
    </tableColumn>
    <tableColumn id="15" xr3:uid="{191EF0F0-DAFB-48A3-BB79-7589C903AD85}" name="Amount Difference" dataDxfId="21" totalsRowDxfId="3">
      <calculatedColumnFormula>G2-N2</calculatedColumnFormula>
    </tableColumn>
    <tableColumn id="16" xr3:uid="{92AE8470-93C0-490D-9D8D-E5F19955EEBE}" name="Exception Type" dataDxfId="20" totalsRowDxfId="2">
      <calculatedColumnFormula>IF(L2="Duplicate","Duplicate Invoice",IF(M2="Failed","Failed Payment",IF(M2="Pending","Pending Payment",IF(M2="Unpaid","Unpaid Invoice",IF(M2="Partial Payment","Amount Mismatch","No Exception")))))</calculatedColumnFormula>
    </tableColumn>
    <tableColumn id="17" xr3:uid="{923299FD-A8F9-457E-B4C7-F8D5CCCCD562}" name="Overdue Status" dataDxfId="19" totalsRowDxfId="1">
      <calculatedColumnFormula>IF(AND(H2&lt;DATE(2026,10,14),M2&lt;&gt;"Paid"),"Overdue","Not Overdue")</calculatedColumnFormula>
    </tableColumn>
    <tableColumn id="18" xr3:uid="{FC765F8C-BC5E-453D-BA50-EB6326C6FA99}" name="Column1" dataDxfId="1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A2B5-31A4-4D59-8DFD-437DEF750A4C}">
  <dimension ref="A1:S40"/>
  <sheetViews>
    <sheetView showGridLines="0" tabSelected="1" workbookViewId="0">
      <selection activeCell="Z11" sqref="Z11"/>
    </sheetView>
  </sheetViews>
  <sheetFormatPr defaultRowHeight="15" x14ac:dyDescent="0.25"/>
  <sheetData>
    <row r="1" spans="1:19" ht="15" customHeight="1" x14ac:dyDescent="0.25">
      <c r="A1" s="30" t="s">
        <v>2192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 spans="1:19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19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19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spans="1:19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1:19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spans="1:19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1:19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</row>
    <row r="23" spans="1:19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</row>
    <row r="25" spans="1:19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spans="1:19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19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spans="1:19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spans="1:19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1:19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1:19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3" spans="1:19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1:19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spans="1:19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1:19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spans="1:19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spans="1:19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</row>
    <row r="39" spans="1:19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19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</row>
  </sheetData>
  <mergeCells count="1">
    <mergeCell ref="A1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5"/>
  <sheetViews>
    <sheetView workbookViewId="0">
      <pane ySplit="1" topLeftCell="A491" activePane="bottomLeft" state="frozen"/>
      <selection pane="bottomLeft" activeCell="F519" sqref="F519"/>
    </sheetView>
  </sheetViews>
  <sheetFormatPr defaultRowHeight="15" x14ac:dyDescent="0.25"/>
  <cols>
    <col min="1" max="1" width="12.42578125" customWidth="1"/>
    <col min="2" max="2" width="12.5703125" customWidth="1"/>
    <col min="3" max="3" width="17.85546875" customWidth="1"/>
    <col min="4" max="4" width="14" customWidth="1"/>
    <col min="5" max="6" width="21" customWidth="1"/>
    <col min="7" max="7" width="17.7109375" customWidth="1"/>
    <col min="8" max="8" width="12" customWidth="1"/>
    <col min="9" max="9" width="16" customWidth="1"/>
    <col min="10" max="10" width="23.7109375" customWidth="1"/>
    <col min="11" max="11" width="17.42578125" customWidth="1"/>
  </cols>
  <sheetData>
    <row r="1" spans="1:11" ht="27.9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46259</v>
      </c>
      <c r="F2" s="2">
        <v>46274</v>
      </c>
      <c r="G2">
        <v>9560.85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s="2">
        <v>46039</v>
      </c>
      <c r="F3" s="2">
        <v>46054</v>
      </c>
      <c r="G3">
        <v>20149.54</v>
      </c>
      <c r="H3" t="s">
        <v>15</v>
      </c>
      <c r="I3" t="s">
        <v>23</v>
      </c>
      <c r="J3" t="s">
        <v>17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s="2">
        <v>46131</v>
      </c>
      <c r="F4" s="2">
        <v>46161</v>
      </c>
      <c r="G4">
        <v>16427.310000000001</v>
      </c>
      <c r="H4" t="s">
        <v>15</v>
      </c>
      <c r="I4" t="s">
        <v>29</v>
      </c>
      <c r="J4" t="s">
        <v>30</v>
      </c>
      <c r="K4" t="s">
        <v>24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s="2">
        <v>46298</v>
      </c>
      <c r="F5" s="2">
        <v>46328</v>
      </c>
      <c r="G5">
        <v>6657.01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s="2">
        <v>46275</v>
      </c>
      <c r="F6" s="2">
        <v>46305</v>
      </c>
      <c r="G6">
        <v>28837.72</v>
      </c>
      <c r="H6" t="s">
        <v>15</v>
      </c>
      <c r="I6" t="s">
        <v>39</v>
      </c>
      <c r="J6" t="s">
        <v>17</v>
      </c>
      <c r="K6" t="s">
        <v>18</v>
      </c>
    </row>
    <row r="7" spans="1:11" x14ac:dyDescent="0.25">
      <c r="A7" t="s">
        <v>40</v>
      </c>
      <c r="B7" t="s">
        <v>41</v>
      </c>
      <c r="C7" t="s">
        <v>42</v>
      </c>
      <c r="D7" t="s">
        <v>43</v>
      </c>
      <c r="E7" s="2">
        <v>46218</v>
      </c>
      <c r="F7" s="2">
        <v>46233</v>
      </c>
      <c r="G7">
        <v>14945.7</v>
      </c>
      <c r="H7" t="s">
        <v>15</v>
      </c>
      <c r="I7" t="s">
        <v>23</v>
      </c>
      <c r="J7" t="s">
        <v>30</v>
      </c>
      <c r="K7" t="s">
        <v>24</v>
      </c>
    </row>
    <row r="8" spans="1:11" x14ac:dyDescent="0.25">
      <c r="A8" t="s">
        <v>44</v>
      </c>
      <c r="B8" t="s">
        <v>45</v>
      </c>
      <c r="C8" t="s">
        <v>46</v>
      </c>
      <c r="D8" t="s">
        <v>47</v>
      </c>
      <c r="E8" s="2">
        <v>46297</v>
      </c>
      <c r="F8" s="2">
        <v>46327</v>
      </c>
      <c r="G8">
        <v>18801.84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25">
      <c r="A9" t="s">
        <v>48</v>
      </c>
      <c r="B9" t="s">
        <v>49</v>
      </c>
      <c r="C9" t="s">
        <v>50</v>
      </c>
      <c r="D9" t="s">
        <v>51</v>
      </c>
      <c r="E9" s="2">
        <v>46279</v>
      </c>
      <c r="F9" s="2">
        <v>46309</v>
      </c>
      <c r="G9">
        <v>19077.62</v>
      </c>
      <c r="H9" t="s">
        <v>15</v>
      </c>
      <c r="I9" t="s">
        <v>16</v>
      </c>
      <c r="J9" t="s">
        <v>17</v>
      </c>
      <c r="K9" t="s">
        <v>24</v>
      </c>
    </row>
    <row r="10" spans="1:11" x14ac:dyDescent="0.25">
      <c r="A10" t="s">
        <v>52</v>
      </c>
      <c r="B10" t="s">
        <v>53</v>
      </c>
      <c r="C10" t="s">
        <v>54</v>
      </c>
      <c r="D10" t="s">
        <v>55</v>
      </c>
      <c r="E10" s="2">
        <v>46101</v>
      </c>
      <c r="F10" s="2">
        <v>46131</v>
      </c>
      <c r="G10">
        <v>9422.98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5">
      <c r="A11" t="s">
        <v>56</v>
      </c>
      <c r="B11" t="s">
        <v>57</v>
      </c>
      <c r="C11" t="s">
        <v>58</v>
      </c>
      <c r="D11" t="s">
        <v>59</v>
      </c>
      <c r="E11" s="2">
        <v>46180</v>
      </c>
      <c r="F11" s="2">
        <v>46225</v>
      </c>
      <c r="G11">
        <v>6077.57</v>
      </c>
      <c r="H11" t="s">
        <v>15</v>
      </c>
      <c r="I11" t="s">
        <v>29</v>
      </c>
      <c r="J11" t="s">
        <v>17</v>
      </c>
      <c r="K11" t="s">
        <v>18</v>
      </c>
    </row>
    <row r="12" spans="1:11" x14ac:dyDescent="0.25">
      <c r="A12" t="s">
        <v>60</v>
      </c>
      <c r="B12" t="s">
        <v>32</v>
      </c>
      <c r="C12" t="s">
        <v>61</v>
      </c>
      <c r="D12" t="s">
        <v>62</v>
      </c>
      <c r="E12" s="2">
        <v>46087</v>
      </c>
      <c r="F12" s="2">
        <v>46117</v>
      </c>
      <c r="G12">
        <v>3314.38</v>
      </c>
      <c r="H12" t="s">
        <v>15</v>
      </c>
      <c r="I12" t="s">
        <v>16</v>
      </c>
      <c r="J12" t="s">
        <v>17</v>
      </c>
      <c r="K12" t="s">
        <v>63</v>
      </c>
    </row>
    <row r="13" spans="1:11" x14ac:dyDescent="0.25">
      <c r="A13" t="s">
        <v>64</v>
      </c>
      <c r="B13" t="s">
        <v>53</v>
      </c>
      <c r="C13" t="s">
        <v>65</v>
      </c>
      <c r="D13" t="s">
        <v>66</v>
      </c>
      <c r="E13" s="2">
        <v>46299</v>
      </c>
      <c r="F13" s="2">
        <v>46329</v>
      </c>
      <c r="G13">
        <v>18911</v>
      </c>
      <c r="H13" t="s">
        <v>15</v>
      </c>
      <c r="I13" t="s">
        <v>23</v>
      </c>
      <c r="J13" t="s">
        <v>17</v>
      </c>
      <c r="K13" t="s">
        <v>63</v>
      </c>
    </row>
    <row r="14" spans="1:11" x14ac:dyDescent="0.25">
      <c r="A14" t="s">
        <v>67</v>
      </c>
      <c r="B14" t="s">
        <v>36</v>
      </c>
      <c r="C14" t="s">
        <v>68</v>
      </c>
      <c r="D14" t="s">
        <v>69</v>
      </c>
      <c r="E14" s="2">
        <v>46254</v>
      </c>
      <c r="F14" s="2">
        <v>46284</v>
      </c>
      <c r="G14">
        <v>3130.58</v>
      </c>
      <c r="H14" t="s">
        <v>15</v>
      </c>
      <c r="I14" t="s">
        <v>16</v>
      </c>
      <c r="J14" t="s">
        <v>17</v>
      </c>
      <c r="K14" t="s">
        <v>18</v>
      </c>
    </row>
    <row r="15" spans="1:11" x14ac:dyDescent="0.25">
      <c r="A15" t="s">
        <v>70</v>
      </c>
      <c r="B15" t="s">
        <v>71</v>
      </c>
      <c r="C15" t="s">
        <v>72</v>
      </c>
      <c r="D15" t="s">
        <v>73</v>
      </c>
      <c r="E15" s="2">
        <v>46059</v>
      </c>
      <c r="F15" s="2">
        <v>46074</v>
      </c>
      <c r="G15">
        <v>27359.01</v>
      </c>
      <c r="H15" t="s">
        <v>15</v>
      </c>
      <c r="I15" t="s">
        <v>29</v>
      </c>
      <c r="J15" t="s">
        <v>17</v>
      </c>
      <c r="K15" t="s">
        <v>24</v>
      </c>
    </row>
    <row r="16" spans="1:11" x14ac:dyDescent="0.25">
      <c r="A16" t="s">
        <v>74</v>
      </c>
      <c r="B16" t="s">
        <v>75</v>
      </c>
      <c r="C16" t="s">
        <v>76</v>
      </c>
      <c r="D16" t="s">
        <v>77</v>
      </c>
      <c r="E16" s="2">
        <v>46132</v>
      </c>
      <c r="F16" s="2">
        <v>46147</v>
      </c>
      <c r="G16">
        <v>13536.14</v>
      </c>
      <c r="H16" t="s">
        <v>15</v>
      </c>
      <c r="I16" t="s">
        <v>16</v>
      </c>
      <c r="J16" t="s">
        <v>17</v>
      </c>
      <c r="K16" t="s">
        <v>63</v>
      </c>
    </row>
    <row r="17" spans="1:11" x14ac:dyDescent="0.25">
      <c r="A17" t="s">
        <v>78</v>
      </c>
      <c r="B17" t="s">
        <v>53</v>
      </c>
      <c r="C17" t="s">
        <v>79</v>
      </c>
      <c r="D17" t="s">
        <v>80</v>
      </c>
      <c r="E17" s="2">
        <v>46071</v>
      </c>
      <c r="F17" s="2">
        <v>46101</v>
      </c>
      <c r="G17">
        <v>2531.64</v>
      </c>
      <c r="H17" t="s">
        <v>15</v>
      </c>
      <c r="I17" t="s">
        <v>16</v>
      </c>
      <c r="J17" t="s">
        <v>17</v>
      </c>
      <c r="K17" t="s">
        <v>24</v>
      </c>
    </row>
    <row r="18" spans="1:11" x14ac:dyDescent="0.25">
      <c r="A18" t="s">
        <v>81</v>
      </c>
      <c r="B18" t="s">
        <v>45</v>
      </c>
      <c r="C18" t="s">
        <v>82</v>
      </c>
      <c r="D18" t="s">
        <v>83</v>
      </c>
      <c r="E18" s="2">
        <v>46054</v>
      </c>
      <c r="F18" s="2">
        <v>46084</v>
      </c>
      <c r="G18">
        <v>10137.219999999999</v>
      </c>
      <c r="H18" t="s">
        <v>15</v>
      </c>
      <c r="I18" t="s">
        <v>29</v>
      </c>
      <c r="J18" t="s">
        <v>17</v>
      </c>
      <c r="K18" t="s">
        <v>18</v>
      </c>
    </row>
    <row r="19" spans="1:11" x14ac:dyDescent="0.25">
      <c r="A19" t="s">
        <v>84</v>
      </c>
      <c r="B19" t="s">
        <v>85</v>
      </c>
      <c r="C19" t="s">
        <v>86</v>
      </c>
      <c r="D19" t="s">
        <v>87</v>
      </c>
      <c r="E19" s="2">
        <v>46116</v>
      </c>
      <c r="F19" s="2">
        <v>46161</v>
      </c>
      <c r="G19">
        <v>7050.2</v>
      </c>
      <c r="H19" t="s">
        <v>15</v>
      </c>
      <c r="I19" t="s">
        <v>39</v>
      </c>
      <c r="J19" t="s">
        <v>17</v>
      </c>
      <c r="K19" t="s">
        <v>18</v>
      </c>
    </row>
    <row r="20" spans="1:11" x14ac:dyDescent="0.25">
      <c r="A20" t="s">
        <v>88</v>
      </c>
      <c r="B20" t="s">
        <v>89</v>
      </c>
      <c r="C20" t="s">
        <v>90</v>
      </c>
      <c r="D20" t="s">
        <v>91</v>
      </c>
      <c r="E20" s="2">
        <v>46299</v>
      </c>
      <c r="F20" s="2">
        <v>46314</v>
      </c>
      <c r="G20">
        <v>20920.37</v>
      </c>
      <c r="H20" t="s">
        <v>15</v>
      </c>
      <c r="I20" t="s">
        <v>16</v>
      </c>
      <c r="J20" t="s">
        <v>17</v>
      </c>
      <c r="K20" t="s">
        <v>63</v>
      </c>
    </row>
    <row r="21" spans="1:11" x14ac:dyDescent="0.25">
      <c r="A21" t="s">
        <v>92</v>
      </c>
      <c r="B21" t="s">
        <v>89</v>
      </c>
      <c r="C21" t="s">
        <v>93</v>
      </c>
      <c r="D21" t="s">
        <v>94</v>
      </c>
      <c r="E21" s="2">
        <v>46107</v>
      </c>
      <c r="F21" s="2">
        <v>46122</v>
      </c>
      <c r="G21">
        <v>9548.85</v>
      </c>
      <c r="H21" t="s">
        <v>15</v>
      </c>
      <c r="I21" t="s">
        <v>39</v>
      </c>
      <c r="J21" t="s">
        <v>17</v>
      </c>
      <c r="K21" t="s">
        <v>24</v>
      </c>
    </row>
    <row r="22" spans="1:11" x14ac:dyDescent="0.25">
      <c r="A22" t="s">
        <v>95</v>
      </c>
      <c r="B22" t="s">
        <v>32</v>
      </c>
      <c r="C22" t="s">
        <v>96</v>
      </c>
      <c r="D22" t="s">
        <v>97</v>
      </c>
      <c r="E22" s="2">
        <v>46272</v>
      </c>
      <c r="F22" s="2">
        <v>46302</v>
      </c>
      <c r="G22">
        <v>3971.35</v>
      </c>
      <c r="H22" t="s">
        <v>15</v>
      </c>
      <c r="I22" t="s">
        <v>39</v>
      </c>
      <c r="J22" t="s">
        <v>30</v>
      </c>
      <c r="K22" t="s">
        <v>63</v>
      </c>
    </row>
    <row r="23" spans="1:11" x14ac:dyDescent="0.25">
      <c r="A23" t="s">
        <v>98</v>
      </c>
      <c r="B23" t="s">
        <v>89</v>
      </c>
      <c r="C23" t="s">
        <v>99</v>
      </c>
      <c r="D23" t="s">
        <v>100</v>
      </c>
      <c r="E23" s="2">
        <v>46048</v>
      </c>
      <c r="F23" s="2">
        <v>46063</v>
      </c>
      <c r="G23">
        <v>14654.34</v>
      </c>
      <c r="H23" t="s">
        <v>15</v>
      </c>
      <c r="I23" t="s">
        <v>29</v>
      </c>
      <c r="J23" t="s">
        <v>17</v>
      </c>
      <c r="K23" t="s">
        <v>18</v>
      </c>
    </row>
    <row r="24" spans="1:11" x14ac:dyDescent="0.25">
      <c r="A24" t="s">
        <v>101</v>
      </c>
      <c r="B24" t="s">
        <v>102</v>
      </c>
      <c r="C24" t="s">
        <v>103</v>
      </c>
      <c r="D24" t="s">
        <v>104</v>
      </c>
      <c r="E24" s="2">
        <v>46057</v>
      </c>
      <c r="F24" s="2">
        <v>46102</v>
      </c>
      <c r="G24">
        <v>16919.29</v>
      </c>
      <c r="H24" t="s">
        <v>15</v>
      </c>
      <c r="I24" t="s">
        <v>16</v>
      </c>
      <c r="J24" t="s">
        <v>17</v>
      </c>
      <c r="K24" t="s">
        <v>24</v>
      </c>
    </row>
    <row r="25" spans="1:11" x14ac:dyDescent="0.25">
      <c r="A25" t="s">
        <v>105</v>
      </c>
      <c r="B25" t="s">
        <v>102</v>
      </c>
      <c r="C25" t="s">
        <v>106</v>
      </c>
      <c r="D25" t="s">
        <v>107</v>
      </c>
      <c r="E25" s="2">
        <v>46237</v>
      </c>
      <c r="F25" s="2">
        <v>46282</v>
      </c>
      <c r="G25">
        <v>16475.439999999999</v>
      </c>
      <c r="H25" t="s">
        <v>15</v>
      </c>
      <c r="I25" t="s">
        <v>16</v>
      </c>
      <c r="J25" t="s">
        <v>17</v>
      </c>
      <c r="K25" t="s">
        <v>18</v>
      </c>
    </row>
    <row r="26" spans="1:11" x14ac:dyDescent="0.25">
      <c r="A26" t="s">
        <v>108</v>
      </c>
      <c r="B26" t="s">
        <v>49</v>
      </c>
      <c r="C26" t="s">
        <v>109</v>
      </c>
      <c r="D26" t="s">
        <v>110</v>
      </c>
      <c r="E26" s="2">
        <v>46225</v>
      </c>
      <c r="F26" s="2">
        <v>46255</v>
      </c>
      <c r="G26">
        <v>3376.25</v>
      </c>
      <c r="H26" t="s">
        <v>15</v>
      </c>
      <c r="I26" t="s">
        <v>23</v>
      </c>
      <c r="J26" t="s">
        <v>17</v>
      </c>
      <c r="K26" t="s">
        <v>18</v>
      </c>
    </row>
    <row r="27" spans="1:11" x14ac:dyDescent="0.25">
      <c r="A27" t="s">
        <v>111</v>
      </c>
      <c r="B27" t="s">
        <v>112</v>
      </c>
      <c r="C27" t="s">
        <v>113</v>
      </c>
      <c r="D27" t="s">
        <v>114</v>
      </c>
      <c r="E27" s="2">
        <v>46074</v>
      </c>
      <c r="F27" s="2">
        <v>46089</v>
      </c>
      <c r="G27">
        <v>1942.73</v>
      </c>
      <c r="H27" t="s">
        <v>15</v>
      </c>
      <c r="I27" t="s">
        <v>23</v>
      </c>
      <c r="J27" t="s">
        <v>17</v>
      </c>
      <c r="K27" t="s">
        <v>18</v>
      </c>
    </row>
    <row r="28" spans="1:11" x14ac:dyDescent="0.25">
      <c r="A28" t="s">
        <v>115</v>
      </c>
      <c r="B28" t="s">
        <v>57</v>
      </c>
      <c r="C28" t="s">
        <v>116</v>
      </c>
      <c r="D28" t="s">
        <v>117</v>
      </c>
      <c r="E28" s="2">
        <v>46168</v>
      </c>
      <c r="F28" s="2">
        <v>46213</v>
      </c>
      <c r="G28">
        <v>4044.74</v>
      </c>
      <c r="H28" t="s">
        <v>15</v>
      </c>
      <c r="I28" t="s">
        <v>23</v>
      </c>
      <c r="J28" t="s">
        <v>17</v>
      </c>
      <c r="K28" t="s">
        <v>24</v>
      </c>
    </row>
    <row r="29" spans="1:11" x14ac:dyDescent="0.25">
      <c r="A29" t="s">
        <v>118</v>
      </c>
      <c r="B29" t="s">
        <v>71</v>
      </c>
      <c r="C29" t="s">
        <v>119</v>
      </c>
      <c r="D29" t="s">
        <v>120</v>
      </c>
      <c r="E29" s="2">
        <v>46306</v>
      </c>
      <c r="F29" s="2">
        <v>46321</v>
      </c>
      <c r="G29">
        <v>7568.54</v>
      </c>
      <c r="H29" t="s">
        <v>15</v>
      </c>
      <c r="I29" t="s">
        <v>29</v>
      </c>
      <c r="J29" t="s">
        <v>30</v>
      </c>
      <c r="K29" t="s">
        <v>24</v>
      </c>
    </row>
    <row r="30" spans="1:11" x14ac:dyDescent="0.25">
      <c r="A30" t="s">
        <v>121</v>
      </c>
      <c r="B30" t="s">
        <v>122</v>
      </c>
      <c r="C30" t="s">
        <v>123</v>
      </c>
      <c r="D30" t="s">
        <v>124</v>
      </c>
      <c r="E30" s="2">
        <v>46162</v>
      </c>
      <c r="F30" s="2">
        <v>46177</v>
      </c>
      <c r="G30">
        <v>7130.1</v>
      </c>
      <c r="H30" t="s">
        <v>15</v>
      </c>
      <c r="I30" t="s">
        <v>39</v>
      </c>
      <c r="J30" t="s">
        <v>17</v>
      </c>
      <c r="K30" t="s">
        <v>24</v>
      </c>
    </row>
    <row r="31" spans="1:11" x14ac:dyDescent="0.25">
      <c r="A31" t="s">
        <v>125</v>
      </c>
      <c r="B31" t="s">
        <v>75</v>
      </c>
      <c r="C31" t="s">
        <v>126</v>
      </c>
      <c r="D31" t="s">
        <v>127</v>
      </c>
      <c r="E31" s="2">
        <v>46151</v>
      </c>
      <c r="F31" s="2">
        <v>46166</v>
      </c>
      <c r="G31">
        <v>22644.77</v>
      </c>
      <c r="H31" t="s">
        <v>15</v>
      </c>
      <c r="I31" t="s">
        <v>16</v>
      </c>
      <c r="J31" t="s">
        <v>17</v>
      </c>
      <c r="K31" t="s">
        <v>18</v>
      </c>
    </row>
    <row r="32" spans="1:11" x14ac:dyDescent="0.25">
      <c r="A32" t="s">
        <v>128</v>
      </c>
      <c r="B32" t="s">
        <v>26</v>
      </c>
      <c r="C32" t="s">
        <v>129</v>
      </c>
      <c r="D32" t="s">
        <v>130</v>
      </c>
      <c r="E32" s="2">
        <v>46089</v>
      </c>
      <c r="F32" s="2">
        <v>46119</v>
      </c>
      <c r="G32">
        <v>15971.38</v>
      </c>
      <c r="H32" t="s">
        <v>15</v>
      </c>
      <c r="I32" t="s">
        <v>39</v>
      </c>
      <c r="J32" t="s">
        <v>17</v>
      </c>
      <c r="K32" t="s">
        <v>18</v>
      </c>
    </row>
    <row r="33" spans="1:11" x14ac:dyDescent="0.25">
      <c r="A33" t="s">
        <v>131</v>
      </c>
      <c r="B33" t="s">
        <v>102</v>
      </c>
      <c r="C33" t="s">
        <v>132</v>
      </c>
      <c r="D33" t="s">
        <v>133</v>
      </c>
      <c r="E33" s="2">
        <v>46099</v>
      </c>
      <c r="F33" s="2">
        <v>46144</v>
      </c>
      <c r="G33">
        <v>13694.29</v>
      </c>
      <c r="H33" t="s">
        <v>15</v>
      </c>
      <c r="I33" t="s">
        <v>29</v>
      </c>
      <c r="J33" t="s">
        <v>30</v>
      </c>
      <c r="K33" t="s">
        <v>63</v>
      </c>
    </row>
    <row r="34" spans="1:11" x14ac:dyDescent="0.25">
      <c r="A34" t="s">
        <v>134</v>
      </c>
      <c r="B34" t="s">
        <v>57</v>
      </c>
      <c r="C34" t="s">
        <v>135</v>
      </c>
      <c r="D34" t="s">
        <v>136</v>
      </c>
      <c r="E34" s="2">
        <v>46043</v>
      </c>
      <c r="F34" s="2">
        <v>46088</v>
      </c>
      <c r="G34">
        <v>22485.24</v>
      </c>
      <c r="H34" t="s">
        <v>15</v>
      </c>
      <c r="I34" t="s">
        <v>29</v>
      </c>
      <c r="J34" t="s">
        <v>17</v>
      </c>
      <c r="K34" t="s">
        <v>63</v>
      </c>
    </row>
    <row r="35" spans="1:11" x14ac:dyDescent="0.25">
      <c r="A35" t="s">
        <v>137</v>
      </c>
      <c r="B35" t="s">
        <v>138</v>
      </c>
      <c r="C35" t="s">
        <v>139</v>
      </c>
      <c r="D35" t="s">
        <v>140</v>
      </c>
      <c r="E35" s="2">
        <v>46102</v>
      </c>
      <c r="F35" s="2">
        <v>46147</v>
      </c>
      <c r="G35">
        <v>23153</v>
      </c>
      <c r="H35" t="s">
        <v>15</v>
      </c>
      <c r="I35" t="s">
        <v>39</v>
      </c>
      <c r="J35" t="s">
        <v>17</v>
      </c>
      <c r="K35" t="s">
        <v>18</v>
      </c>
    </row>
    <row r="36" spans="1:11" x14ac:dyDescent="0.25">
      <c r="A36" t="s">
        <v>141</v>
      </c>
      <c r="B36" t="s">
        <v>12</v>
      </c>
      <c r="C36" t="s">
        <v>142</v>
      </c>
      <c r="D36" t="s">
        <v>143</v>
      </c>
      <c r="E36" s="2">
        <v>46193</v>
      </c>
      <c r="F36" s="2">
        <v>46208</v>
      </c>
      <c r="G36">
        <v>19585.78</v>
      </c>
      <c r="H36" t="s">
        <v>15</v>
      </c>
      <c r="I36" t="s">
        <v>39</v>
      </c>
      <c r="J36" t="s">
        <v>17</v>
      </c>
      <c r="K36" t="s">
        <v>24</v>
      </c>
    </row>
    <row r="37" spans="1:11" x14ac:dyDescent="0.25">
      <c r="A37" t="s">
        <v>144</v>
      </c>
      <c r="B37" t="s">
        <v>45</v>
      </c>
      <c r="C37" t="s">
        <v>145</v>
      </c>
      <c r="D37" t="s">
        <v>146</v>
      </c>
      <c r="E37" s="2">
        <v>46218</v>
      </c>
      <c r="F37" s="2">
        <v>46248</v>
      </c>
      <c r="G37">
        <v>21819.51</v>
      </c>
      <c r="H37" t="s">
        <v>15</v>
      </c>
      <c r="I37" t="s">
        <v>39</v>
      </c>
      <c r="J37" t="s">
        <v>17</v>
      </c>
      <c r="K37" t="s">
        <v>63</v>
      </c>
    </row>
    <row r="38" spans="1:11" x14ac:dyDescent="0.25">
      <c r="A38" t="s">
        <v>147</v>
      </c>
      <c r="B38" t="s">
        <v>20</v>
      </c>
      <c r="C38" t="s">
        <v>148</v>
      </c>
      <c r="D38" t="s">
        <v>149</v>
      </c>
      <c r="E38" s="2">
        <v>46137</v>
      </c>
      <c r="F38" s="2">
        <v>46152</v>
      </c>
      <c r="G38">
        <v>708.77</v>
      </c>
      <c r="H38" t="s">
        <v>15</v>
      </c>
      <c r="I38" t="s">
        <v>23</v>
      </c>
      <c r="J38" t="s">
        <v>17</v>
      </c>
      <c r="K38" t="s">
        <v>63</v>
      </c>
    </row>
    <row r="39" spans="1:11" x14ac:dyDescent="0.25">
      <c r="A39" t="s">
        <v>150</v>
      </c>
      <c r="B39" t="s">
        <v>57</v>
      </c>
      <c r="C39" t="s">
        <v>151</v>
      </c>
      <c r="D39" t="s">
        <v>152</v>
      </c>
      <c r="E39" s="2">
        <v>46283</v>
      </c>
      <c r="F39" s="2">
        <v>46328</v>
      </c>
      <c r="G39">
        <v>10064</v>
      </c>
      <c r="H39" t="s">
        <v>15</v>
      </c>
      <c r="I39" t="s">
        <v>23</v>
      </c>
      <c r="J39" t="s">
        <v>30</v>
      </c>
      <c r="K39" t="s">
        <v>63</v>
      </c>
    </row>
    <row r="40" spans="1:11" x14ac:dyDescent="0.25">
      <c r="A40" t="s">
        <v>153</v>
      </c>
      <c r="B40" t="s">
        <v>12</v>
      </c>
      <c r="C40" t="s">
        <v>154</v>
      </c>
      <c r="D40" t="s">
        <v>155</v>
      </c>
      <c r="E40" s="2">
        <v>46158</v>
      </c>
      <c r="F40" s="2">
        <v>46173</v>
      </c>
      <c r="G40">
        <v>1071.8399999999999</v>
      </c>
      <c r="H40" t="s">
        <v>15</v>
      </c>
      <c r="I40" t="s">
        <v>39</v>
      </c>
      <c r="J40" t="s">
        <v>17</v>
      </c>
      <c r="K40" t="s">
        <v>24</v>
      </c>
    </row>
    <row r="41" spans="1:11" x14ac:dyDescent="0.25">
      <c r="A41" t="s">
        <v>156</v>
      </c>
      <c r="B41" t="s">
        <v>45</v>
      </c>
      <c r="C41" t="s">
        <v>157</v>
      </c>
      <c r="D41" t="s">
        <v>158</v>
      </c>
      <c r="E41" s="2">
        <v>46220</v>
      </c>
      <c r="F41" s="2">
        <v>46250</v>
      </c>
      <c r="G41">
        <v>22499.68</v>
      </c>
      <c r="H41" t="s">
        <v>15</v>
      </c>
      <c r="I41" t="s">
        <v>16</v>
      </c>
      <c r="J41" t="s">
        <v>17</v>
      </c>
      <c r="K41" t="s">
        <v>24</v>
      </c>
    </row>
    <row r="42" spans="1:11" x14ac:dyDescent="0.25">
      <c r="A42" t="s">
        <v>159</v>
      </c>
      <c r="B42" t="s">
        <v>53</v>
      </c>
      <c r="C42" t="s">
        <v>160</v>
      </c>
      <c r="D42" t="s">
        <v>161</v>
      </c>
      <c r="E42" s="2">
        <v>46209</v>
      </c>
      <c r="F42" s="2">
        <v>46239</v>
      </c>
      <c r="G42">
        <v>10850.68</v>
      </c>
      <c r="H42" t="s">
        <v>15</v>
      </c>
      <c r="I42" t="s">
        <v>16</v>
      </c>
      <c r="J42" t="s">
        <v>17</v>
      </c>
      <c r="K42" t="s">
        <v>24</v>
      </c>
    </row>
    <row r="43" spans="1:11" x14ac:dyDescent="0.25">
      <c r="A43" t="s">
        <v>162</v>
      </c>
      <c r="B43" t="s">
        <v>163</v>
      </c>
      <c r="C43" t="s">
        <v>164</v>
      </c>
      <c r="D43" t="s">
        <v>165</v>
      </c>
      <c r="E43" s="2">
        <v>46282</v>
      </c>
      <c r="F43" s="2">
        <v>46297</v>
      </c>
      <c r="G43">
        <v>7815</v>
      </c>
      <c r="H43" t="s">
        <v>15</v>
      </c>
      <c r="I43" t="s">
        <v>16</v>
      </c>
      <c r="J43" t="s">
        <v>30</v>
      </c>
      <c r="K43" t="s">
        <v>63</v>
      </c>
    </row>
    <row r="44" spans="1:11" x14ac:dyDescent="0.25">
      <c r="A44" t="s">
        <v>166</v>
      </c>
      <c r="B44" t="s">
        <v>41</v>
      </c>
      <c r="C44" t="s">
        <v>167</v>
      </c>
      <c r="D44" t="s">
        <v>168</v>
      </c>
      <c r="E44" s="2">
        <v>46112</v>
      </c>
      <c r="F44" s="2">
        <v>46127</v>
      </c>
      <c r="G44">
        <v>15434.01</v>
      </c>
      <c r="H44" t="s">
        <v>15</v>
      </c>
      <c r="I44" t="s">
        <v>29</v>
      </c>
      <c r="J44" t="s">
        <v>17</v>
      </c>
      <c r="K44" t="s">
        <v>63</v>
      </c>
    </row>
    <row r="45" spans="1:11" x14ac:dyDescent="0.25">
      <c r="A45" t="s">
        <v>169</v>
      </c>
      <c r="B45" t="s">
        <v>170</v>
      </c>
      <c r="C45" t="s">
        <v>171</v>
      </c>
      <c r="D45" t="s">
        <v>172</v>
      </c>
      <c r="E45" s="2">
        <v>46187</v>
      </c>
      <c r="F45" s="2">
        <v>46217</v>
      </c>
      <c r="G45">
        <v>11688.91</v>
      </c>
      <c r="H45" t="s">
        <v>15</v>
      </c>
      <c r="I45" t="s">
        <v>16</v>
      </c>
      <c r="J45" t="s">
        <v>17</v>
      </c>
      <c r="K45" t="s">
        <v>24</v>
      </c>
    </row>
    <row r="46" spans="1:11" x14ac:dyDescent="0.25">
      <c r="A46" t="s">
        <v>173</v>
      </c>
      <c r="B46" t="s">
        <v>12</v>
      </c>
      <c r="C46" t="s">
        <v>174</v>
      </c>
      <c r="D46" t="s">
        <v>175</v>
      </c>
      <c r="E46" s="2">
        <v>46066</v>
      </c>
      <c r="F46" s="2">
        <v>46081</v>
      </c>
      <c r="G46">
        <v>7180.61</v>
      </c>
      <c r="H46" t="s">
        <v>15</v>
      </c>
      <c r="I46" t="s">
        <v>29</v>
      </c>
      <c r="J46" t="s">
        <v>17</v>
      </c>
      <c r="K46" t="s">
        <v>18</v>
      </c>
    </row>
    <row r="47" spans="1:11" x14ac:dyDescent="0.25">
      <c r="A47" t="s">
        <v>176</v>
      </c>
      <c r="B47" t="s">
        <v>163</v>
      </c>
      <c r="C47" t="s">
        <v>177</v>
      </c>
      <c r="D47" t="s">
        <v>178</v>
      </c>
      <c r="E47" s="2">
        <v>46138</v>
      </c>
      <c r="F47" s="2">
        <v>46153</v>
      </c>
      <c r="G47">
        <v>20187.28</v>
      </c>
      <c r="H47" t="s">
        <v>15</v>
      </c>
      <c r="I47" t="s">
        <v>23</v>
      </c>
      <c r="J47" t="s">
        <v>17</v>
      </c>
      <c r="K47" t="s">
        <v>18</v>
      </c>
    </row>
    <row r="48" spans="1:11" x14ac:dyDescent="0.25">
      <c r="A48" t="s">
        <v>179</v>
      </c>
      <c r="B48" t="s">
        <v>112</v>
      </c>
      <c r="C48" t="s">
        <v>180</v>
      </c>
      <c r="D48" t="s">
        <v>181</v>
      </c>
      <c r="E48" s="2">
        <v>46235</v>
      </c>
      <c r="F48" s="2">
        <v>46250</v>
      </c>
      <c r="G48">
        <v>22167.09</v>
      </c>
      <c r="H48" t="s">
        <v>15</v>
      </c>
      <c r="I48" t="s">
        <v>16</v>
      </c>
      <c r="J48" t="s">
        <v>17</v>
      </c>
      <c r="K48" t="s">
        <v>24</v>
      </c>
    </row>
    <row r="49" spans="1:11" x14ac:dyDescent="0.25">
      <c r="A49" t="s">
        <v>182</v>
      </c>
      <c r="B49" t="s">
        <v>71</v>
      </c>
      <c r="C49" t="s">
        <v>183</v>
      </c>
      <c r="D49" t="s">
        <v>184</v>
      </c>
      <c r="E49" s="2">
        <v>46077</v>
      </c>
      <c r="F49" s="2">
        <v>46092</v>
      </c>
      <c r="G49">
        <v>19487.099999999999</v>
      </c>
      <c r="H49" t="s">
        <v>15</v>
      </c>
      <c r="I49" t="s">
        <v>29</v>
      </c>
      <c r="J49" t="s">
        <v>17</v>
      </c>
      <c r="K49" t="s">
        <v>18</v>
      </c>
    </row>
    <row r="50" spans="1:11" x14ac:dyDescent="0.25">
      <c r="A50" t="s">
        <v>185</v>
      </c>
      <c r="B50" t="s">
        <v>112</v>
      </c>
      <c r="C50" t="s">
        <v>186</v>
      </c>
      <c r="D50" t="s">
        <v>187</v>
      </c>
      <c r="E50" s="2">
        <v>46091</v>
      </c>
      <c r="F50" s="2">
        <v>46106</v>
      </c>
      <c r="G50">
        <v>20059.25</v>
      </c>
      <c r="H50" t="s">
        <v>15</v>
      </c>
      <c r="I50" t="s">
        <v>16</v>
      </c>
      <c r="J50" t="s">
        <v>17</v>
      </c>
      <c r="K50" t="s">
        <v>63</v>
      </c>
    </row>
    <row r="51" spans="1:11" x14ac:dyDescent="0.25">
      <c r="A51" t="s">
        <v>188</v>
      </c>
      <c r="B51" t="s">
        <v>138</v>
      </c>
      <c r="C51" t="s">
        <v>189</v>
      </c>
      <c r="D51" t="s">
        <v>190</v>
      </c>
      <c r="E51" s="2">
        <v>46281</v>
      </c>
      <c r="F51" s="2">
        <v>46326</v>
      </c>
      <c r="G51">
        <v>10737.31</v>
      </c>
      <c r="H51" t="s">
        <v>15</v>
      </c>
      <c r="I51" t="s">
        <v>39</v>
      </c>
      <c r="J51" t="s">
        <v>17</v>
      </c>
      <c r="K51" t="s">
        <v>63</v>
      </c>
    </row>
    <row r="52" spans="1:11" x14ac:dyDescent="0.25">
      <c r="A52" t="s">
        <v>191</v>
      </c>
      <c r="B52" t="s">
        <v>20</v>
      </c>
      <c r="C52" t="s">
        <v>192</v>
      </c>
      <c r="D52" t="s">
        <v>193</v>
      </c>
      <c r="E52" s="2">
        <v>46164</v>
      </c>
      <c r="F52" s="2">
        <v>46179</v>
      </c>
      <c r="G52">
        <v>19173.439999999999</v>
      </c>
      <c r="H52" t="s">
        <v>15</v>
      </c>
      <c r="I52" t="s">
        <v>16</v>
      </c>
      <c r="J52" t="s">
        <v>30</v>
      </c>
      <c r="K52" t="s">
        <v>63</v>
      </c>
    </row>
    <row r="53" spans="1:11" x14ac:dyDescent="0.25">
      <c r="A53" t="s">
        <v>194</v>
      </c>
      <c r="B53" t="s">
        <v>20</v>
      </c>
      <c r="C53" t="s">
        <v>195</v>
      </c>
      <c r="D53" t="s">
        <v>196</v>
      </c>
      <c r="E53" s="2">
        <v>46162</v>
      </c>
      <c r="F53" s="2">
        <v>46177</v>
      </c>
      <c r="G53">
        <v>8475.89</v>
      </c>
      <c r="H53" t="s">
        <v>15</v>
      </c>
      <c r="I53" t="s">
        <v>29</v>
      </c>
      <c r="J53" t="s">
        <v>17</v>
      </c>
      <c r="K53" t="s">
        <v>18</v>
      </c>
    </row>
    <row r="54" spans="1:11" x14ac:dyDescent="0.25">
      <c r="A54" t="s">
        <v>197</v>
      </c>
      <c r="B54" t="s">
        <v>53</v>
      </c>
      <c r="C54" t="s">
        <v>198</v>
      </c>
      <c r="D54" t="s">
        <v>199</v>
      </c>
      <c r="E54" s="2">
        <v>46055</v>
      </c>
      <c r="F54" s="2">
        <v>46085</v>
      </c>
      <c r="G54">
        <v>10441.91</v>
      </c>
      <c r="H54" t="s">
        <v>15</v>
      </c>
      <c r="I54" t="s">
        <v>29</v>
      </c>
      <c r="J54" t="s">
        <v>17</v>
      </c>
      <c r="K54" t="s">
        <v>63</v>
      </c>
    </row>
    <row r="55" spans="1:11" x14ac:dyDescent="0.25">
      <c r="A55" t="s">
        <v>200</v>
      </c>
      <c r="B55" t="s">
        <v>170</v>
      </c>
      <c r="C55" t="s">
        <v>201</v>
      </c>
      <c r="D55" t="s">
        <v>202</v>
      </c>
      <c r="E55" s="2">
        <v>46033</v>
      </c>
      <c r="F55" s="2">
        <v>46063</v>
      </c>
      <c r="G55">
        <v>21435.49</v>
      </c>
      <c r="H55" t="s">
        <v>15</v>
      </c>
      <c r="I55" t="s">
        <v>29</v>
      </c>
      <c r="J55" t="s">
        <v>17</v>
      </c>
      <c r="K55" t="s">
        <v>63</v>
      </c>
    </row>
    <row r="56" spans="1:11" x14ac:dyDescent="0.25">
      <c r="A56" t="s">
        <v>203</v>
      </c>
      <c r="B56" t="s">
        <v>85</v>
      </c>
      <c r="C56" t="s">
        <v>204</v>
      </c>
      <c r="D56" t="s">
        <v>205</v>
      </c>
      <c r="E56" s="2">
        <v>46298</v>
      </c>
      <c r="F56" s="2">
        <v>46343</v>
      </c>
      <c r="G56">
        <v>18718.189999999999</v>
      </c>
      <c r="H56" t="s">
        <v>15</v>
      </c>
      <c r="I56" t="s">
        <v>16</v>
      </c>
      <c r="J56" t="s">
        <v>17</v>
      </c>
      <c r="K56" t="s">
        <v>63</v>
      </c>
    </row>
    <row r="57" spans="1:11" x14ac:dyDescent="0.25">
      <c r="A57" t="s">
        <v>206</v>
      </c>
      <c r="B57" t="s">
        <v>71</v>
      </c>
      <c r="C57" t="s">
        <v>207</v>
      </c>
      <c r="D57" t="s">
        <v>208</v>
      </c>
      <c r="E57" s="2">
        <v>46222</v>
      </c>
      <c r="F57" s="2">
        <v>46237</v>
      </c>
      <c r="G57">
        <v>8482.9</v>
      </c>
      <c r="H57" t="s">
        <v>15</v>
      </c>
      <c r="I57" t="s">
        <v>29</v>
      </c>
      <c r="J57" t="s">
        <v>17</v>
      </c>
      <c r="K57" t="s">
        <v>18</v>
      </c>
    </row>
    <row r="58" spans="1:11" x14ac:dyDescent="0.25">
      <c r="A58" t="s">
        <v>209</v>
      </c>
      <c r="B58" t="s">
        <v>138</v>
      </c>
      <c r="C58" t="s">
        <v>210</v>
      </c>
      <c r="D58" t="s">
        <v>211</v>
      </c>
      <c r="E58" s="2">
        <v>46296</v>
      </c>
      <c r="F58" s="2">
        <v>46341</v>
      </c>
      <c r="G58">
        <v>790.93</v>
      </c>
      <c r="H58" t="s">
        <v>15</v>
      </c>
      <c r="I58" t="s">
        <v>29</v>
      </c>
      <c r="J58" t="s">
        <v>17</v>
      </c>
      <c r="K58" t="s">
        <v>18</v>
      </c>
    </row>
    <row r="59" spans="1:11" x14ac:dyDescent="0.25">
      <c r="A59" t="s">
        <v>212</v>
      </c>
      <c r="B59" t="s">
        <v>112</v>
      </c>
      <c r="C59" t="s">
        <v>213</v>
      </c>
      <c r="D59" t="s">
        <v>214</v>
      </c>
      <c r="E59" s="2">
        <v>46116</v>
      </c>
      <c r="F59" s="2">
        <v>46131</v>
      </c>
      <c r="G59">
        <v>1371.08</v>
      </c>
      <c r="H59" t="s">
        <v>15</v>
      </c>
      <c r="I59" t="s">
        <v>16</v>
      </c>
      <c r="J59" t="s">
        <v>17</v>
      </c>
      <c r="K59" t="s">
        <v>63</v>
      </c>
    </row>
    <row r="60" spans="1:11" x14ac:dyDescent="0.25">
      <c r="A60" t="s">
        <v>215</v>
      </c>
      <c r="B60" t="s">
        <v>49</v>
      </c>
      <c r="C60" t="s">
        <v>216</v>
      </c>
      <c r="D60" t="s">
        <v>217</v>
      </c>
      <c r="E60" s="2">
        <v>46238</v>
      </c>
      <c r="F60" s="2">
        <v>46268</v>
      </c>
      <c r="G60">
        <v>6396.52</v>
      </c>
      <c r="H60" t="s">
        <v>15</v>
      </c>
      <c r="I60" t="s">
        <v>16</v>
      </c>
      <c r="J60" t="s">
        <v>17</v>
      </c>
      <c r="K60" t="s">
        <v>63</v>
      </c>
    </row>
    <row r="61" spans="1:11" x14ac:dyDescent="0.25">
      <c r="A61" t="s">
        <v>218</v>
      </c>
      <c r="B61" t="s">
        <v>20</v>
      </c>
      <c r="C61" t="s">
        <v>219</v>
      </c>
      <c r="D61" t="s">
        <v>220</v>
      </c>
      <c r="E61" s="2">
        <v>46058</v>
      </c>
      <c r="F61" s="2">
        <v>46073</v>
      </c>
      <c r="G61">
        <v>19557.080000000002</v>
      </c>
      <c r="H61" t="s">
        <v>15</v>
      </c>
      <c r="I61" t="s">
        <v>29</v>
      </c>
      <c r="J61" t="s">
        <v>30</v>
      </c>
      <c r="K61" t="s">
        <v>18</v>
      </c>
    </row>
    <row r="62" spans="1:11" x14ac:dyDescent="0.25">
      <c r="A62" t="s">
        <v>221</v>
      </c>
      <c r="B62" t="s">
        <v>20</v>
      </c>
      <c r="C62" t="s">
        <v>222</v>
      </c>
      <c r="D62" t="s">
        <v>223</v>
      </c>
      <c r="E62" s="2">
        <v>46087</v>
      </c>
      <c r="F62" s="2">
        <v>46102</v>
      </c>
      <c r="G62">
        <v>11902.2</v>
      </c>
      <c r="H62" t="s">
        <v>15</v>
      </c>
      <c r="I62" t="s">
        <v>39</v>
      </c>
      <c r="J62" t="s">
        <v>17</v>
      </c>
      <c r="K62" t="s">
        <v>18</v>
      </c>
    </row>
    <row r="63" spans="1:11" x14ac:dyDescent="0.25">
      <c r="A63" t="s">
        <v>224</v>
      </c>
      <c r="B63" t="s">
        <v>138</v>
      </c>
      <c r="C63" t="s">
        <v>225</v>
      </c>
      <c r="D63" t="s">
        <v>226</v>
      </c>
      <c r="E63" s="2">
        <v>46081</v>
      </c>
      <c r="F63" s="2">
        <v>46126</v>
      </c>
      <c r="G63">
        <v>19471.46</v>
      </c>
      <c r="H63" t="s">
        <v>15</v>
      </c>
      <c r="I63" t="s">
        <v>16</v>
      </c>
      <c r="J63" t="s">
        <v>17</v>
      </c>
      <c r="K63" t="s">
        <v>24</v>
      </c>
    </row>
    <row r="64" spans="1:11" x14ac:dyDescent="0.25">
      <c r="A64" t="s">
        <v>227</v>
      </c>
      <c r="B64" t="s">
        <v>41</v>
      </c>
      <c r="C64" t="s">
        <v>228</v>
      </c>
      <c r="D64" t="s">
        <v>229</v>
      </c>
      <c r="E64" s="2">
        <v>46226</v>
      </c>
      <c r="F64" s="2">
        <v>46241</v>
      </c>
      <c r="G64">
        <v>23543.79</v>
      </c>
      <c r="H64" t="s">
        <v>15</v>
      </c>
      <c r="I64" t="s">
        <v>39</v>
      </c>
      <c r="J64" t="s">
        <v>17</v>
      </c>
      <c r="K64" t="s">
        <v>24</v>
      </c>
    </row>
    <row r="65" spans="1:11" x14ac:dyDescent="0.25">
      <c r="A65" t="s">
        <v>230</v>
      </c>
      <c r="B65" t="s">
        <v>163</v>
      </c>
      <c r="C65" t="s">
        <v>231</v>
      </c>
      <c r="D65" t="s">
        <v>232</v>
      </c>
      <c r="E65" s="2">
        <v>46084</v>
      </c>
      <c r="F65" s="2">
        <v>46099</v>
      </c>
      <c r="G65">
        <v>19930.13</v>
      </c>
      <c r="H65" t="s">
        <v>15</v>
      </c>
      <c r="I65" t="s">
        <v>16</v>
      </c>
      <c r="J65" t="s">
        <v>17</v>
      </c>
      <c r="K65" t="s">
        <v>18</v>
      </c>
    </row>
    <row r="66" spans="1:11" x14ac:dyDescent="0.25">
      <c r="A66" t="s">
        <v>233</v>
      </c>
      <c r="B66" t="s">
        <v>36</v>
      </c>
      <c r="C66" t="s">
        <v>234</v>
      </c>
      <c r="D66" t="s">
        <v>235</v>
      </c>
      <c r="E66" s="2">
        <v>46197</v>
      </c>
      <c r="F66" s="2">
        <v>46227</v>
      </c>
      <c r="G66">
        <v>434.79</v>
      </c>
      <c r="H66" t="s">
        <v>15</v>
      </c>
      <c r="I66" t="s">
        <v>16</v>
      </c>
      <c r="J66" t="s">
        <v>17</v>
      </c>
      <c r="K66" t="s">
        <v>63</v>
      </c>
    </row>
    <row r="67" spans="1:11" x14ac:dyDescent="0.25">
      <c r="A67" t="s">
        <v>236</v>
      </c>
      <c r="B67" t="s">
        <v>122</v>
      </c>
      <c r="C67" t="s">
        <v>237</v>
      </c>
      <c r="D67" t="s">
        <v>238</v>
      </c>
      <c r="E67" s="2">
        <v>46245</v>
      </c>
      <c r="F67" s="2">
        <v>46260</v>
      </c>
      <c r="G67">
        <v>4502.29</v>
      </c>
      <c r="H67" t="s">
        <v>15</v>
      </c>
      <c r="I67" t="s">
        <v>16</v>
      </c>
      <c r="J67" t="s">
        <v>17</v>
      </c>
      <c r="K67" t="s">
        <v>63</v>
      </c>
    </row>
    <row r="68" spans="1:11" x14ac:dyDescent="0.25">
      <c r="A68" t="s">
        <v>239</v>
      </c>
      <c r="B68" t="s">
        <v>112</v>
      </c>
      <c r="C68" t="s">
        <v>240</v>
      </c>
      <c r="D68" t="s">
        <v>241</v>
      </c>
      <c r="E68" s="2">
        <v>46246</v>
      </c>
      <c r="F68" s="2">
        <v>46261</v>
      </c>
      <c r="G68">
        <v>20664.28</v>
      </c>
      <c r="H68" t="s">
        <v>15</v>
      </c>
      <c r="I68" t="s">
        <v>16</v>
      </c>
      <c r="J68" t="s">
        <v>17</v>
      </c>
      <c r="K68" t="s">
        <v>63</v>
      </c>
    </row>
    <row r="69" spans="1:11" x14ac:dyDescent="0.25">
      <c r="A69" t="s">
        <v>242</v>
      </c>
      <c r="B69" t="s">
        <v>112</v>
      </c>
      <c r="C69" t="s">
        <v>243</v>
      </c>
      <c r="D69" t="s">
        <v>244</v>
      </c>
      <c r="E69" s="2">
        <v>46147</v>
      </c>
      <c r="F69" s="2">
        <v>46162</v>
      </c>
      <c r="G69">
        <v>18791.849999999999</v>
      </c>
      <c r="H69" t="s">
        <v>15</v>
      </c>
      <c r="I69" t="s">
        <v>16</v>
      </c>
      <c r="J69" t="s">
        <v>17</v>
      </c>
      <c r="K69" t="s">
        <v>63</v>
      </c>
    </row>
    <row r="70" spans="1:11" x14ac:dyDescent="0.25">
      <c r="A70" t="s">
        <v>245</v>
      </c>
      <c r="B70" t="s">
        <v>12</v>
      </c>
      <c r="C70" t="s">
        <v>246</v>
      </c>
      <c r="D70" t="s">
        <v>247</v>
      </c>
      <c r="E70" s="2">
        <v>46272</v>
      </c>
      <c r="F70" s="2">
        <v>46287</v>
      </c>
      <c r="G70">
        <v>5397.54</v>
      </c>
      <c r="H70" t="s">
        <v>15</v>
      </c>
      <c r="I70" t="s">
        <v>23</v>
      </c>
      <c r="J70" t="s">
        <v>17</v>
      </c>
      <c r="K70" t="s">
        <v>63</v>
      </c>
    </row>
    <row r="71" spans="1:11" x14ac:dyDescent="0.25">
      <c r="A71" t="s">
        <v>248</v>
      </c>
      <c r="B71" t="s">
        <v>32</v>
      </c>
      <c r="C71" t="s">
        <v>249</v>
      </c>
      <c r="D71" t="s">
        <v>250</v>
      </c>
      <c r="E71" s="2">
        <v>46028</v>
      </c>
      <c r="F71" s="2">
        <v>46058</v>
      </c>
      <c r="G71">
        <v>12973.69</v>
      </c>
      <c r="H71" t="s">
        <v>15</v>
      </c>
      <c r="I71" t="s">
        <v>16</v>
      </c>
      <c r="J71" t="s">
        <v>17</v>
      </c>
      <c r="K71" t="s">
        <v>18</v>
      </c>
    </row>
    <row r="72" spans="1:11" x14ac:dyDescent="0.25">
      <c r="A72" t="s">
        <v>251</v>
      </c>
      <c r="B72" t="s">
        <v>75</v>
      </c>
      <c r="C72" t="s">
        <v>252</v>
      </c>
      <c r="D72" t="s">
        <v>253</v>
      </c>
      <c r="E72" s="2">
        <v>46274</v>
      </c>
      <c r="F72" s="2">
        <v>46289</v>
      </c>
      <c r="G72">
        <v>35298.25</v>
      </c>
      <c r="H72" t="s">
        <v>15</v>
      </c>
      <c r="I72" t="s">
        <v>16</v>
      </c>
      <c r="J72" t="s">
        <v>17</v>
      </c>
      <c r="K72" t="s">
        <v>63</v>
      </c>
    </row>
    <row r="73" spans="1:11" x14ac:dyDescent="0.25">
      <c r="A73" t="s">
        <v>254</v>
      </c>
      <c r="B73" t="s">
        <v>75</v>
      </c>
      <c r="C73" t="s">
        <v>255</v>
      </c>
      <c r="D73" t="s">
        <v>256</v>
      </c>
      <c r="E73" s="2">
        <v>46306</v>
      </c>
      <c r="F73" s="2">
        <v>46321</v>
      </c>
      <c r="G73">
        <v>13329.34</v>
      </c>
      <c r="H73" t="s">
        <v>15</v>
      </c>
      <c r="I73" t="s">
        <v>16</v>
      </c>
      <c r="J73" t="s">
        <v>17</v>
      </c>
      <c r="K73" t="s">
        <v>63</v>
      </c>
    </row>
    <row r="74" spans="1:11" x14ac:dyDescent="0.25">
      <c r="A74" t="s">
        <v>257</v>
      </c>
      <c r="B74" t="s">
        <v>49</v>
      </c>
      <c r="C74" t="s">
        <v>258</v>
      </c>
      <c r="D74" t="s">
        <v>259</v>
      </c>
      <c r="E74" s="2">
        <v>46141</v>
      </c>
      <c r="F74" s="2">
        <v>46171</v>
      </c>
      <c r="G74">
        <v>3121.92</v>
      </c>
      <c r="H74" t="s">
        <v>15</v>
      </c>
      <c r="I74" t="s">
        <v>16</v>
      </c>
      <c r="J74" t="s">
        <v>17</v>
      </c>
      <c r="K74" t="s">
        <v>18</v>
      </c>
    </row>
    <row r="75" spans="1:11" x14ac:dyDescent="0.25">
      <c r="A75" t="s">
        <v>260</v>
      </c>
      <c r="B75" t="s">
        <v>53</v>
      </c>
      <c r="C75" t="s">
        <v>261</v>
      </c>
      <c r="D75" t="s">
        <v>262</v>
      </c>
      <c r="E75" s="2">
        <v>46133</v>
      </c>
      <c r="F75" s="2">
        <v>46163</v>
      </c>
      <c r="G75">
        <v>18496.48</v>
      </c>
      <c r="H75" t="s">
        <v>15</v>
      </c>
      <c r="I75" t="s">
        <v>16</v>
      </c>
      <c r="J75" t="s">
        <v>17</v>
      </c>
      <c r="K75" t="s">
        <v>18</v>
      </c>
    </row>
    <row r="76" spans="1:11" x14ac:dyDescent="0.25">
      <c r="A76" t="s">
        <v>263</v>
      </c>
      <c r="B76" t="s">
        <v>53</v>
      </c>
      <c r="C76" t="s">
        <v>264</v>
      </c>
      <c r="D76" t="s">
        <v>265</v>
      </c>
      <c r="E76" s="2">
        <v>46174</v>
      </c>
      <c r="F76" s="2">
        <v>46204</v>
      </c>
      <c r="G76">
        <v>5779.78</v>
      </c>
      <c r="H76" t="s">
        <v>15</v>
      </c>
      <c r="I76" t="s">
        <v>16</v>
      </c>
      <c r="J76" t="s">
        <v>17</v>
      </c>
      <c r="K76" t="s">
        <v>18</v>
      </c>
    </row>
    <row r="77" spans="1:11" x14ac:dyDescent="0.25">
      <c r="A77" t="s">
        <v>266</v>
      </c>
      <c r="B77" t="s">
        <v>32</v>
      </c>
      <c r="C77" t="s">
        <v>267</v>
      </c>
      <c r="D77" t="s">
        <v>268</v>
      </c>
      <c r="E77" s="2">
        <v>46172</v>
      </c>
      <c r="F77" s="2">
        <v>46202</v>
      </c>
      <c r="G77">
        <v>17471.740000000002</v>
      </c>
      <c r="H77" t="s">
        <v>15</v>
      </c>
      <c r="I77" t="s">
        <v>23</v>
      </c>
      <c r="J77" t="s">
        <v>17</v>
      </c>
      <c r="K77" t="s">
        <v>63</v>
      </c>
    </row>
    <row r="78" spans="1:11" x14ac:dyDescent="0.25">
      <c r="A78" t="s">
        <v>269</v>
      </c>
      <c r="B78" t="s">
        <v>75</v>
      </c>
      <c r="C78" t="s">
        <v>270</v>
      </c>
      <c r="D78" t="s">
        <v>271</v>
      </c>
      <c r="E78" s="2">
        <v>46248</v>
      </c>
      <c r="F78" s="2">
        <v>46263</v>
      </c>
      <c r="G78">
        <v>8596.76</v>
      </c>
      <c r="H78" t="s">
        <v>15</v>
      </c>
      <c r="I78" t="s">
        <v>29</v>
      </c>
      <c r="J78" t="s">
        <v>30</v>
      </c>
      <c r="K78" t="s">
        <v>63</v>
      </c>
    </row>
    <row r="79" spans="1:11" x14ac:dyDescent="0.25">
      <c r="A79" t="s">
        <v>272</v>
      </c>
      <c r="B79" t="s">
        <v>102</v>
      </c>
      <c r="C79" t="s">
        <v>273</v>
      </c>
      <c r="D79" t="s">
        <v>274</v>
      </c>
      <c r="E79" s="2">
        <v>46050</v>
      </c>
      <c r="F79" s="2">
        <v>46095</v>
      </c>
      <c r="G79">
        <v>3894.97</v>
      </c>
      <c r="H79" t="s">
        <v>15</v>
      </c>
      <c r="I79" t="s">
        <v>23</v>
      </c>
      <c r="J79" t="s">
        <v>30</v>
      </c>
      <c r="K79" t="s">
        <v>63</v>
      </c>
    </row>
    <row r="80" spans="1:11" x14ac:dyDescent="0.25">
      <c r="A80" t="s">
        <v>275</v>
      </c>
      <c r="B80" t="s">
        <v>138</v>
      </c>
      <c r="C80" t="s">
        <v>276</v>
      </c>
      <c r="D80" t="s">
        <v>277</v>
      </c>
      <c r="E80" s="2">
        <v>46138</v>
      </c>
      <c r="F80" s="2">
        <v>46183</v>
      </c>
      <c r="G80">
        <v>19419.259999999998</v>
      </c>
      <c r="H80" t="s">
        <v>15</v>
      </c>
      <c r="I80" t="s">
        <v>23</v>
      </c>
      <c r="J80" t="s">
        <v>17</v>
      </c>
      <c r="K80" t="s">
        <v>63</v>
      </c>
    </row>
    <row r="81" spans="1:11" x14ac:dyDescent="0.25">
      <c r="A81" t="s">
        <v>278</v>
      </c>
      <c r="B81" t="s">
        <v>170</v>
      </c>
      <c r="C81" t="s">
        <v>279</v>
      </c>
      <c r="D81" t="s">
        <v>280</v>
      </c>
      <c r="E81" s="2">
        <v>46053</v>
      </c>
      <c r="F81" s="2">
        <v>46083</v>
      </c>
      <c r="G81">
        <v>15287.62</v>
      </c>
      <c r="H81" t="s">
        <v>15</v>
      </c>
      <c r="I81" t="s">
        <v>16</v>
      </c>
      <c r="J81" t="s">
        <v>17</v>
      </c>
      <c r="K81" t="s">
        <v>18</v>
      </c>
    </row>
    <row r="82" spans="1:11" x14ac:dyDescent="0.25">
      <c r="A82" t="s">
        <v>281</v>
      </c>
      <c r="B82" t="s">
        <v>20</v>
      </c>
      <c r="C82" t="s">
        <v>282</v>
      </c>
      <c r="D82" t="s">
        <v>283</v>
      </c>
      <c r="E82" s="2">
        <v>46111</v>
      </c>
      <c r="F82" s="2">
        <v>46126</v>
      </c>
      <c r="G82">
        <v>13853.57</v>
      </c>
      <c r="H82" t="s">
        <v>15</v>
      </c>
      <c r="I82" t="s">
        <v>39</v>
      </c>
      <c r="J82" t="s">
        <v>17</v>
      </c>
      <c r="K82" t="s">
        <v>18</v>
      </c>
    </row>
    <row r="83" spans="1:11" x14ac:dyDescent="0.25">
      <c r="A83" t="s">
        <v>284</v>
      </c>
      <c r="B83" t="s">
        <v>20</v>
      </c>
      <c r="C83" t="s">
        <v>285</v>
      </c>
      <c r="D83" t="s">
        <v>286</v>
      </c>
      <c r="E83" s="2">
        <v>46170</v>
      </c>
      <c r="F83" s="2">
        <v>46185</v>
      </c>
      <c r="G83">
        <v>17709.060000000001</v>
      </c>
      <c r="H83" t="s">
        <v>15</v>
      </c>
      <c r="I83" t="s">
        <v>39</v>
      </c>
      <c r="J83" t="s">
        <v>17</v>
      </c>
      <c r="K83" t="s">
        <v>24</v>
      </c>
    </row>
    <row r="84" spans="1:11" x14ac:dyDescent="0.25">
      <c r="A84" t="s">
        <v>287</v>
      </c>
      <c r="B84" t="s">
        <v>170</v>
      </c>
      <c r="C84" t="s">
        <v>288</v>
      </c>
      <c r="D84" t="s">
        <v>289</v>
      </c>
      <c r="E84" s="2">
        <v>46124</v>
      </c>
      <c r="F84" s="2">
        <v>46154</v>
      </c>
      <c r="G84">
        <v>10697.46</v>
      </c>
      <c r="H84" t="s">
        <v>15</v>
      </c>
      <c r="I84" t="s">
        <v>23</v>
      </c>
      <c r="J84" t="s">
        <v>17</v>
      </c>
      <c r="K84" t="s">
        <v>18</v>
      </c>
    </row>
    <row r="85" spans="1:11" x14ac:dyDescent="0.25">
      <c r="A85" t="s">
        <v>290</v>
      </c>
      <c r="B85" t="s">
        <v>89</v>
      </c>
      <c r="C85" t="s">
        <v>291</v>
      </c>
      <c r="D85" t="s">
        <v>292</v>
      </c>
      <c r="E85" s="2">
        <v>46107</v>
      </c>
      <c r="F85" s="2">
        <v>46122</v>
      </c>
      <c r="G85">
        <v>19840.599999999999</v>
      </c>
      <c r="H85" t="s">
        <v>15</v>
      </c>
      <c r="I85" t="s">
        <v>16</v>
      </c>
      <c r="J85" t="s">
        <v>17</v>
      </c>
      <c r="K85" t="s">
        <v>63</v>
      </c>
    </row>
    <row r="86" spans="1:11" x14ac:dyDescent="0.25">
      <c r="A86" t="s">
        <v>293</v>
      </c>
      <c r="B86" t="s">
        <v>41</v>
      </c>
      <c r="C86" t="s">
        <v>294</v>
      </c>
      <c r="D86" t="s">
        <v>295</v>
      </c>
      <c r="E86" s="2">
        <v>46162</v>
      </c>
      <c r="F86" s="2">
        <v>46177</v>
      </c>
      <c r="G86">
        <v>12571.75</v>
      </c>
      <c r="H86" t="s">
        <v>15</v>
      </c>
      <c r="I86" t="s">
        <v>29</v>
      </c>
      <c r="J86" t="s">
        <v>17</v>
      </c>
      <c r="K86" t="s">
        <v>63</v>
      </c>
    </row>
    <row r="87" spans="1:11" x14ac:dyDescent="0.25">
      <c r="A87" t="s">
        <v>296</v>
      </c>
      <c r="B87" t="s">
        <v>138</v>
      </c>
      <c r="C87" t="s">
        <v>297</v>
      </c>
      <c r="D87" t="s">
        <v>298</v>
      </c>
      <c r="E87" s="2">
        <v>46151</v>
      </c>
      <c r="F87" s="2">
        <v>46196</v>
      </c>
      <c r="G87">
        <v>763.52</v>
      </c>
      <c r="H87" t="s">
        <v>15</v>
      </c>
      <c r="I87" t="s">
        <v>23</v>
      </c>
      <c r="J87" t="s">
        <v>17</v>
      </c>
      <c r="K87" t="s">
        <v>18</v>
      </c>
    </row>
    <row r="88" spans="1:11" x14ac:dyDescent="0.25">
      <c r="A88" t="s">
        <v>299</v>
      </c>
      <c r="B88" t="s">
        <v>49</v>
      </c>
      <c r="C88" t="s">
        <v>300</v>
      </c>
      <c r="D88" t="s">
        <v>301</v>
      </c>
      <c r="E88" s="2">
        <v>46043</v>
      </c>
      <c r="F88" s="2">
        <v>46073</v>
      </c>
      <c r="G88">
        <v>19106.150000000001</v>
      </c>
      <c r="H88" t="s">
        <v>15</v>
      </c>
      <c r="I88" t="s">
        <v>16</v>
      </c>
      <c r="J88" t="s">
        <v>17</v>
      </c>
      <c r="K88" t="s">
        <v>24</v>
      </c>
    </row>
    <row r="89" spans="1:11" x14ac:dyDescent="0.25">
      <c r="A89" t="s">
        <v>302</v>
      </c>
      <c r="B89" t="s">
        <v>85</v>
      </c>
      <c r="C89" t="s">
        <v>303</v>
      </c>
      <c r="D89" t="s">
        <v>304</v>
      </c>
      <c r="E89" s="2">
        <v>46274</v>
      </c>
      <c r="F89" s="2">
        <v>46319</v>
      </c>
      <c r="G89">
        <v>24230.09</v>
      </c>
      <c r="H89" t="s">
        <v>15</v>
      </c>
      <c r="I89" t="s">
        <v>16</v>
      </c>
      <c r="J89" t="s">
        <v>30</v>
      </c>
      <c r="K89" t="s">
        <v>18</v>
      </c>
    </row>
    <row r="90" spans="1:11" x14ac:dyDescent="0.25">
      <c r="A90" t="s">
        <v>305</v>
      </c>
      <c r="B90" t="s">
        <v>26</v>
      </c>
      <c r="C90" t="s">
        <v>306</v>
      </c>
      <c r="D90" t="s">
        <v>307</v>
      </c>
      <c r="E90" s="2">
        <v>46233</v>
      </c>
      <c r="F90" s="2">
        <v>46263</v>
      </c>
      <c r="G90">
        <v>17378.599999999999</v>
      </c>
      <c r="H90" t="s">
        <v>15</v>
      </c>
      <c r="I90" t="s">
        <v>39</v>
      </c>
      <c r="J90" t="s">
        <v>30</v>
      </c>
      <c r="K90" t="s">
        <v>18</v>
      </c>
    </row>
    <row r="91" spans="1:11" x14ac:dyDescent="0.25">
      <c r="A91" t="s">
        <v>308</v>
      </c>
      <c r="B91" t="s">
        <v>26</v>
      </c>
      <c r="C91" t="s">
        <v>309</v>
      </c>
      <c r="D91" t="s">
        <v>310</v>
      </c>
      <c r="E91" s="2">
        <v>46152</v>
      </c>
      <c r="F91" s="2">
        <v>46182</v>
      </c>
      <c r="G91">
        <v>8163.05</v>
      </c>
      <c r="H91" t="s">
        <v>15</v>
      </c>
      <c r="I91" t="s">
        <v>39</v>
      </c>
      <c r="J91" t="s">
        <v>30</v>
      </c>
      <c r="K91" t="s">
        <v>24</v>
      </c>
    </row>
    <row r="92" spans="1:11" x14ac:dyDescent="0.25">
      <c r="A92" t="s">
        <v>311</v>
      </c>
      <c r="B92" t="s">
        <v>112</v>
      </c>
      <c r="C92" t="s">
        <v>312</v>
      </c>
      <c r="D92" t="s">
        <v>313</v>
      </c>
      <c r="E92" s="2">
        <v>46234</v>
      </c>
      <c r="F92" s="2">
        <v>46249</v>
      </c>
      <c r="G92">
        <v>1468.6</v>
      </c>
      <c r="H92" t="s">
        <v>15</v>
      </c>
      <c r="I92" t="s">
        <v>16</v>
      </c>
      <c r="J92" t="s">
        <v>17</v>
      </c>
      <c r="K92" t="s">
        <v>18</v>
      </c>
    </row>
    <row r="93" spans="1:11" x14ac:dyDescent="0.25">
      <c r="A93" t="s">
        <v>314</v>
      </c>
      <c r="B93" t="s">
        <v>53</v>
      </c>
      <c r="C93" t="s">
        <v>315</v>
      </c>
      <c r="D93" t="s">
        <v>316</v>
      </c>
      <c r="E93" s="2">
        <v>46159</v>
      </c>
      <c r="F93" s="2">
        <v>46189</v>
      </c>
      <c r="G93">
        <v>13784.58</v>
      </c>
      <c r="H93" t="s">
        <v>15</v>
      </c>
      <c r="I93" t="s">
        <v>16</v>
      </c>
      <c r="J93" t="s">
        <v>30</v>
      </c>
      <c r="K93" t="s">
        <v>24</v>
      </c>
    </row>
    <row r="94" spans="1:11" x14ac:dyDescent="0.25">
      <c r="A94" t="s">
        <v>317</v>
      </c>
      <c r="B94" t="s">
        <v>138</v>
      </c>
      <c r="C94" t="s">
        <v>318</v>
      </c>
      <c r="D94" t="s">
        <v>319</v>
      </c>
      <c r="E94" s="2">
        <v>46145</v>
      </c>
      <c r="F94" s="2">
        <v>46190</v>
      </c>
      <c r="G94">
        <v>17779.400000000001</v>
      </c>
      <c r="H94" t="s">
        <v>15</v>
      </c>
      <c r="I94" t="s">
        <v>16</v>
      </c>
      <c r="J94" t="s">
        <v>17</v>
      </c>
      <c r="K94" t="s">
        <v>18</v>
      </c>
    </row>
    <row r="95" spans="1:11" x14ac:dyDescent="0.25">
      <c r="A95" t="s">
        <v>320</v>
      </c>
      <c r="B95" t="s">
        <v>112</v>
      </c>
      <c r="C95" t="s">
        <v>321</v>
      </c>
      <c r="D95" t="s">
        <v>322</v>
      </c>
      <c r="E95" s="2">
        <v>46083</v>
      </c>
      <c r="F95" s="2">
        <v>46098</v>
      </c>
      <c r="G95">
        <v>16235.02</v>
      </c>
      <c r="H95" t="s">
        <v>15</v>
      </c>
      <c r="I95" t="s">
        <v>39</v>
      </c>
      <c r="J95" t="s">
        <v>17</v>
      </c>
      <c r="K95" t="s">
        <v>63</v>
      </c>
    </row>
    <row r="96" spans="1:11" x14ac:dyDescent="0.25">
      <c r="A96" t="s">
        <v>323</v>
      </c>
      <c r="B96" t="s">
        <v>75</v>
      </c>
      <c r="C96" t="s">
        <v>324</v>
      </c>
      <c r="D96" t="s">
        <v>325</v>
      </c>
      <c r="E96" s="2">
        <v>46147</v>
      </c>
      <c r="F96" s="2">
        <v>46162</v>
      </c>
      <c r="G96">
        <v>11484.85</v>
      </c>
      <c r="H96" t="s">
        <v>15</v>
      </c>
      <c r="I96" t="s">
        <v>16</v>
      </c>
      <c r="J96" t="s">
        <v>17</v>
      </c>
      <c r="K96" t="s">
        <v>18</v>
      </c>
    </row>
    <row r="97" spans="1:11" x14ac:dyDescent="0.25">
      <c r="A97" t="s">
        <v>326</v>
      </c>
      <c r="B97" t="s">
        <v>49</v>
      </c>
      <c r="C97" t="s">
        <v>327</v>
      </c>
      <c r="D97" t="s">
        <v>328</v>
      </c>
      <c r="E97" s="2">
        <v>46235</v>
      </c>
      <c r="F97" s="2">
        <v>46265</v>
      </c>
      <c r="G97">
        <v>8576.1</v>
      </c>
      <c r="H97" t="s">
        <v>15</v>
      </c>
      <c r="I97" t="s">
        <v>29</v>
      </c>
      <c r="J97" t="s">
        <v>17</v>
      </c>
      <c r="K97" t="s">
        <v>24</v>
      </c>
    </row>
    <row r="98" spans="1:11" x14ac:dyDescent="0.25">
      <c r="A98" t="s">
        <v>329</v>
      </c>
      <c r="B98" t="s">
        <v>170</v>
      </c>
      <c r="C98" t="s">
        <v>330</v>
      </c>
      <c r="D98" t="s">
        <v>331</v>
      </c>
      <c r="E98" s="2">
        <v>46273</v>
      </c>
      <c r="F98" s="2">
        <v>46303</v>
      </c>
      <c r="G98">
        <v>21647.68</v>
      </c>
      <c r="H98" t="s">
        <v>15</v>
      </c>
      <c r="I98" t="s">
        <v>16</v>
      </c>
      <c r="J98" t="s">
        <v>17</v>
      </c>
      <c r="K98" t="s">
        <v>63</v>
      </c>
    </row>
    <row r="99" spans="1:11" x14ac:dyDescent="0.25">
      <c r="A99" t="s">
        <v>332</v>
      </c>
      <c r="B99" t="s">
        <v>112</v>
      </c>
      <c r="C99" t="s">
        <v>333</v>
      </c>
      <c r="D99" t="s">
        <v>334</v>
      </c>
      <c r="E99" s="2">
        <v>46187</v>
      </c>
      <c r="F99" s="2">
        <v>46202</v>
      </c>
      <c r="G99">
        <v>21755.69</v>
      </c>
      <c r="H99" t="s">
        <v>15</v>
      </c>
      <c r="I99" t="s">
        <v>16</v>
      </c>
      <c r="J99" t="s">
        <v>17</v>
      </c>
      <c r="K99" t="s">
        <v>63</v>
      </c>
    </row>
    <row r="100" spans="1:11" x14ac:dyDescent="0.25">
      <c r="A100" t="s">
        <v>335</v>
      </c>
      <c r="B100" t="s">
        <v>89</v>
      </c>
      <c r="C100" t="s">
        <v>336</v>
      </c>
      <c r="D100" t="s">
        <v>337</v>
      </c>
      <c r="E100" s="2">
        <v>46185</v>
      </c>
      <c r="F100" s="2">
        <v>46200</v>
      </c>
      <c r="G100">
        <v>18648.259999999998</v>
      </c>
      <c r="H100" t="s">
        <v>15</v>
      </c>
      <c r="I100" t="s">
        <v>23</v>
      </c>
      <c r="J100" t="s">
        <v>17</v>
      </c>
      <c r="K100" t="s">
        <v>24</v>
      </c>
    </row>
    <row r="101" spans="1:11" x14ac:dyDescent="0.25">
      <c r="A101" t="s">
        <v>338</v>
      </c>
      <c r="B101" t="s">
        <v>122</v>
      </c>
      <c r="C101" t="s">
        <v>339</v>
      </c>
      <c r="D101" t="s">
        <v>340</v>
      </c>
      <c r="E101" s="2">
        <v>46276</v>
      </c>
      <c r="F101" s="2">
        <v>46291</v>
      </c>
      <c r="G101">
        <v>24124.83</v>
      </c>
      <c r="H101" t="s">
        <v>15</v>
      </c>
      <c r="I101" t="s">
        <v>23</v>
      </c>
      <c r="J101" t="s">
        <v>17</v>
      </c>
      <c r="K101" t="s">
        <v>63</v>
      </c>
    </row>
    <row r="102" spans="1:11" x14ac:dyDescent="0.25">
      <c r="A102" t="s">
        <v>341</v>
      </c>
      <c r="B102" t="s">
        <v>45</v>
      </c>
      <c r="C102" t="s">
        <v>342</v>
      </c>
      <c r="D102" t="s">
        <v>343</v>
      </c>
      <c r="E102" s="2">
        <v>46292</v>
      </c>
      <c r="F102" s="2">
        <v>46322</v>
      </c>
      <c r="G102">
        <v>30045.439999999999</v>
      </c>
      <c r="H102" t="s">
        <v>15</v>
      </c>
      <c r="I102" t="s">
        <v>29</v>
      </c>
      <c r="J102" t="s">
        <v>17</v>
      </c>
      <c r="K102" t="s">
        <v>63</v>
      </c>
    </row>
    <row r="103" spans="1:11" x14ac:dyDescent="0.25">
      <c r="A103" t="s">
        <v>344</v>
      </c>
      <c r="B103" t="s">
        <v>26</v>
      </c>
      <c r="C103" t="s">
        <v>345</v>
      </c>
      <c r="D103" t="s">
        <v>346</v>
      </c>
      <c r="E103" s="2">
        <v>46226</v>
      </c>
      <c r="F103" s="2">
        <v>46256</v>
      </c>
      <c r="G103">
        <v>16287.94</v>
      </c>
      <c r="H103" t="s">
        <v>15</v>
      </c>
      <c r="I103" t="s">
        <v>16</v>
      </c>
      <c r="J103" t="s">
        <v>17</v>
      </c>
      <c r="K103" t="s">
        <v>24</v>
      </c>
    </row>
    <row r="104" spans="1:11" x14ac:dyDescent="0.25">
      <c r="A104" t="s">
        <v>347</v>
      </c>
      <c r="B104" t="s">
        <v>75</v>
      </c>
      <c r="C104" t="s">
        <v>348</v>
      </c>
      <c r="D104" t="s">
        <v>349</v>
      </c>
      <c r="E104" s="2">
        <v>46300</v>
      </c>
      <c r="F104" s="2">
        <v>46315</v>
      </c>
      <c r="G104">
        <v>47090.64</v>
      </c>
      <c r="H104" t="s">
        <v>15</v>
      </c>
      <c r="I104" t="s">
        <v>39</v>
      </c>
      <c r="J104" t="s">
        <v>17</v>
      </c>
      <c r="K104" t="s">
        <v>18</v>
      </c>
    </row>
    <row r="105" spans="1:11" x14ac:dyDescent="0.25">
      <c r="A105" t="s">
        <v>350</v>
      </c>
      <c r="B105" t="s">
        <v>45</v>
      </c>
      <c r="C105" t="s">
        <v>351</v>
      </c>
      <c r="D105" t="s">
        <v>352</v>
      </c>
      <c r="E105" s="2">
        <v>46250</v>
      </c>
      <c r="F105" s="2">
        <v>46280</v>
      </c>
      <c r="G105">
        <v>4259.16</v>
      </c>
      <c r="H105" t="s">
        <v>15</v>
      </c>
      <c r="I105" t="s">
        <v>16</v>
      </c>
      <c r="J105" t="s">
        <v>30</v>
      </c>
      <c r="K105" t="s">
        <v>63</v>
      </c>
    </row>
    <row r="106" spans="1:11" x14ac:dyDescent="0.25">
      <c r="A106" t="s">
        <v>353</v>
      </c>
      <c r="B106" t="s">
        <v>57</v>
      </c>
      <c r="C106" t="s">
        <v>354</v>
      </c>
      <c r="D106" t="s">
        <v>355</v>
      </c>
      <c r="E106" s="2">
        <v>46243</v>
      </c>
      <c r="F106" s="2">
        <v>46288</v>
      </c>
      <c r="G106">
        <v>3741.78</v>
      </c>
      <c r="H106" t="s">
        <v>15</v>
      </c>
      <c r="I106" t="s">
        <v>39</v>
      </c>
      <c r="J106" t="s">
        <v>17</v>
      </c>
      <c r="K106" t="s">
        <v>18</v>
      </c>
    </row>
    <row r="107" spans="1:11" x14ac:dyDescent="0.25">
      <c r="A107" t="s">
        <v>356</v>
      </c>
      <c r="B107" t="s">
        <v>138</v>
      </c>
      <c r="C107" t="s">
        <v>357</v>
      </c>
      <c r="D107" t="s">
        <v>358</v>
      </c>
      <c r="E107" s="2">
        <v>46218</v>
      </c>
      <c r="F107" s="2">
        <v>46263</v>
      </c>
      <c r="G107">
        <v>15538.39</v>
      </c>
      <c r="H107" t="s">
        <v>15</v>
      </c>
      <c r="I107" t="s">
        <v>16</v>
      </c>
      <c r="J107" t="s">
        <v>17</v>
      </c>
      <c r="K107" t="s">
        <v>63</v>
      </c>
    </row>
    <row r="108" spans="1:11" x14ac:dyDescent="0.25">
      <c r="A108" t="s">
        <v>359</v>
      </c>
      <c r="B108" t="s">
        <v>49</v>
      </c>
      <c r="C108" t="s">
        <v>360</v>
      </c>
      <c r="D108" t="s">
        <v>361</v>
      </c>
      <c r="E108" s="2">
        <v>46027</v>
      </c>
      <c r="F108" s="2">
        <v>46057</v>
      </c>
      <c r="G108">
        <v>22484.84</v>
      </c>
      <c r="H108" t="s">
        <v>15</v>
      </c>
      <c r="I108" t="s">
        <v>16</v>
      </c>
      <c r="J108" t="s">
        <v>30</v>
      </c>
      <c r="K108" t="s">
        <v>63</v>
      </c>
    </row>
    <row r="109" spans="1:11" x14ac:dyDescent="0.25">
      <c r="A109" t="s">
        <v>362</v>
      </c>
      <c r="B109" t="s">
        <v>170</v>
      </c>
      <c r="C109" t="s">
        <v>363</v>
      </c>
      <c r="D109" t="s">
        <v>364</v>
      </c>
      <c r="E109" s="2">
        <v>46176</v>
      </c>
      <c r="F109" s="2">
        <v>46206</v>
      </c>
      <c r="G109">
        <v>16016.79</v>
      </c>
      <c r="H109" t="s">
        <v>15</v>
      </c>
      <c r="I109" t="s">
        <v>39</v>
      </c>
      <c r="J109" t="s">
        <v>17</v>
      </c>
      <c r="K109" t="s">
        <v>63</v>
      </c>
    </row>
    <row r="110" spans="1:11" x14ac:dyDescent="0.25">
      <c r="A110" t="s">
        <v>365</v>
      </c>
      <c r="B110" t="s">
        <v>75</v>
      </c>
      <c r="C110" t="s">
        <v>366</v>
      </c>
      <c r="D110" t="s">
        <v>367</v>
      </c>
      <c r="E110" s="2">
        <v>46077</v>
      </c>
      <c r="F110" s="2">
        <v>46092</v>
      </c>
      <c r="G110">
        <v>6021.68</v>
      </c>
      <c r="H110" t="s">
        <v>15</v>
      </c>
      <c r="I110" t="s">
        <v>23</v>
      </c>
      <c r="J110" t="s">
        <v>17</v>
      </c>
      <c r="K110" t="s">
        <v>24</v>
      </c>
    </row>
    <row r="111" spans="1:11" x14ac:dyDescent="0.25">
      <c r="A111" t="s">
        <v>368</v>
      </c>
      <c r="B111" t="s">
        <v>41</v>
      </c>
      <c r="C111" t="s">
        <v>369</v>
      </c>
      <c r="D111" t="s">
        <v>370</v>
      </c>
      <c r="E111" s="2">
        <v>46163</v>
      </c>
      <c r="F111" s="2">
        <v>46178</v>
      </c>
      <c r="G111">
        <v>321.48</v>
      </c>
      <c r="H111" t="s">
        <v>15</v>
      </c>
      <c r="I111" t="s">
        <v>39</v>
      </c>
      <c r="J111" t="s">
        <v>17</v>
      </c>
      <c r="K111" t="s">
        <v>63</v>
      </c>
    </row>
    <row r="112" spans="1:11" x14ac:dyDescent="0.25">
      <c r="A112" t="s">
        <v>371</v>
      </c>
      <c r="B112" t="s">
        <v>20</v>
      </c>
      <c r="C112" t="s">
        <v>372</v>
      </c>
      <c r="D112" t="s">
        <v>373</v>
      </c>
      <c r="E112" s="2">
        <v>46203</v>
      </c>
      <c r="F112" s="2">
        <v>46218</v>
      </c>
      <c r="G112">
        <v>5568.83</v>
      </c>
      <c r="H112" t="s">
        <v>15</v>
      </c>
      <c r="I112" t="s">
        <v>39</v>
      </c>
      <c r="J112" t="s">
        <v>17</v>
      </c>
      <c r="K112" t="s">
        <v>24</v>
      </c>
    </row>
    <row r="113" spans="1:11" x14ac:dyDescent="0.25">
      <c r="A113" t="s">
        <v>374</v>
      </c>
      <c r="B113" t="s">
        <v>122</v>
      </c>
      <c r="C113" t="s">
        <v>375</v>
      </c>
      <c r="D113" t="s">
        <v>376</v>
      </c>
      <c r="E113" s="2">
        <v>46072</v>
      </c>
      <c r="F113" s="2">
        <v>46087</v>
      </c>
      <c r="G113">
        <v>22596.68</v>
      </c>
      <c r="H113" t="s">
        <v>15</v>
      </c>
      <c r="I113" t="s">
        <v>16</v>
      </c>
      <c r="J113" t="s">
        <v>17</v>
      </c>
      <c r="K113" t="s">
        <v>24</v>
      </c>
    </row>
    <row r="114" spans="1:11" x14ac:dyDescent="0.25">
      <c r="A114" t="s">
        <v>377</v>
      </c>
      <c r="B114" t="s">
        <v>122</v>
      </c>
      <c r="C114" t="s">
        <v>378</v>
      </c>
      <c r="D114" t="s">
        <v>379</v>
      </c>
      <c r="E114" s="2">
        <v>46069</v>
      </c>
      <c r="F114" s="2">
        <v>46084</v>
      </c>
      <c r="G114">
        <v>22751.54</v>
      </c>
      <c r="H114" t="s">
        <v>15</v>
      </c>
      <c r="I114" t="s">
        <v>16</v>
      </c>
      <c r="J114" t="s">
        <v>17</v>
      </c>
      <c r="K114" t="s">
        <v>63</v>
      </c>
    </row>
    <row r="115" spans="1:11" x14ac:dyDescent="0.25">
      <c r="A115" t="s">
        <v>380</v>
      </c>
      <c r="B115" t="s">
        <v>36</v>
      </c>
      <c r="C115" t="s">
        <v>381</v>
      </c>
      <c r="D115" t="s">
        <v>382</v>
      </c>
      <c r="E115" s="2">
        <v>46279</v>
      </c>
      <c r="F115" s="2">
        <v>46309</v>
      </c>
      <c r="G115">
        <v>22847.56</v>
      </c>
      <c r="H115" t="s">
        <v>15</v>
      </c>
      <c r="I115" t="s">
        <v>23</v>
      </c>
      <c r="J115" t="s">
        <v>17</v>
      </c>
      <c r="K115" t="s">
        <v>63</v>
      </c>
    </row>
    <row r="116" spans="1:11" x14ac:dyDescent="0.25">
      <c r="A116" t="s">
        <v>383</v>
      </c>
      <c r="B116" t="s">
        <v>26</v>
      </c>
      <c r="C116" t="s">
        <v>384</v>
      </c>
      <c r="D116" t="s">
        <v>385</v>
      </c>
      <c r="E116" s="2">
        <v>46081</v>
      </c>
      <c r="F116" s="2">
        <v>46111</v>
      </c>
      <c r="G116">
        <v>51395.3</v>
      </c>
      <c r="H116" t="s">
        <v>15</v>
      </c>
      <c r="I116" t="s">
        <v>39</v>
      </c>
      <c r="J116" t="s">
        <v>17</v>
      </c>
      <c r="K116" t="s">
        <v>24</v>
      </c>
    </row>
    <row r="117" spans="1:11" x14ac:dyDescent="0.25">
      <c r="A117" t="s">
        <v>386</v>
      </c>
      <c r="B117" t="s">
        <v>57</v>
      </c>
      <c r="C117" t="s">
        <v>387</v>
      </c>
      <c r="D117" t="s">
        <v>388</v>
      </c>
      <c r="E117" s="2">
        <v>46069</v>
      </c>
      <c r="F117" s="2">
        <v>46114</v>
      </c>
      <c r="G117">
        <v>43780.03</v>
      </c>
      <c r="H117" t="s">
        <v>15</v>
      </c>
      <c r="I117" t="s">
        <v>16</v>
      </c>
      <c r="J117" t="s">
        <v>17</v>
      </c>
      <c r="K117" t="s">
        <v>24</v>
      </c>
    </row>
    <row r="118" spans="1:11" x14ac:dyDescent="0.25">
      <c r="A118" t="s">
        <v>389</v>
      </c>
      <c r="B118" t="s">
        <v>41</v>
      </c>
      <c r="C118" t="s">
        <v>390</v>
      </c>
      <c r="D118" t="s">
        <v>391</v>
      </c>
      <c r="E118" s="2">
        <v>46213</v>
      </c>
      <c r="F118" s="2">
        <v>46228</v>
      </c>
      <c r="G118">
        <v>2815.65</v>
      </c>
      <c r="H118" t="s">
        <v>15</v>
      </c>
      <c r="I118" t="s">
        <v>23</v>
      </c>
      <c r="J118" t="s">
        <v>17</v>
      </c>
      <c r="K118" t="s">
        <v>24</v>
      </c>
    </row>
    <row r="119" spans="1:11" x14ac:dyDescent="0.25">
      <c r="A119" t="s">
        <v>392</v>
      </c>
      <c r="B119" t="s">
        <v>20</v>
      </c>
      <c r="C119" t="s">
        <v>393</v>
      </c>
      <c r="D119" t="s">
        <v>394</v>
      </c>
      <c r="E119" s="2">
        <v>46055</v>
      </c>
      <c r="F119" s="2">
        <v>46070</v>
      </c>
      <c r="G119">
        <v>15928.85</v>
      </c>
      <c r="H119" t="s">
        <v>15</v>
      </c>
      <c r="I119" t="s">
        <v>16</v>
      </c>
      <c r="J119" t="s">
        <v>30</v>
      </c>
      <c r="K119" t="s">
        <v>18</v>
      </c>
    </row>
    <row r="120" spans="1:11" x14ac:dyDescent="0.25">
      <c r="A120" t="s">
        <v>395</v>
      </c>
      <c r="B120" t="s">
        <v>163</v>
      </c>
      <c r="C120" t="s">
        <v>396</v>
      </c>
      <c r="D120" t="s">
        <v>397</v>
      </c>
      <c r="E120" s="2">
        <v>46275</v>
      </c>
      <c r="F120" s="2">
        <v>46290</v>
      </c>
      <c r="G120">
        <v>3009.08</v>
      </c>
      <c r="H120" t="s">
        <v>15</v>
      </c>
      <c r="I120" t="s">
        <v>16</v>
      </c>
      <c r="J120" t="s">
        <v>17</v>
      </c>
      <c r="K120" t="s">
        <v>24</v>
      </c>
    </row>
    <row r="121" spans="1:11" x14ac:dyDescent="0.25">
      <c r="A121" t="s">
        <v>398</v>
      </c>
      <c r="B121" t="s">
        <v>32</v>
      </c>
      <c r="C121" t="s">
        <v>399</v>
      </c>
      <c r="D121" t="s">
        <v>400</v>
      </c>
      <c r="E121" s="2">
        <v>46237</v>
      </c>
      <c r="F121" s="2">
        <v>46267</v>
      </c>
      <c r="G121">
        <v>14733.03</v>
      </c>
      <c r="H121" t="s">
        <v>15</v>
      </c>
      <c r="I121" t="s">
        <v>29</v>
      </c>
      <c r="J121" t="s">
        <v>17</v>
      </c>
      <c r="K121" t="s">
        <v>63</v>
      </c>
    </row>
    <row r="122" spans="1:11" x14ac:dyDescent="0.25">
      <c r="A122" t="s">
        <v>401</v>
      </c>
      <c r="B122" t="s">
        <v>49</v>
      </c>
      <c r="C122" t="s">
        <v>402</v>
      </c>
      <c r="D122" t="s">
        <v>403</v>
      </c>
      <c r="E122" s="2">
        <v>46039</v>
      </c>
      <c r="F122" s="2">
        <v>46069</v>
      </c>
      <c r="G122">
        <v>17294.18</v>
      </c>
      <c r="H122" t="s">
        <v>15</v>
      </c>
      <c r="I122" t="s">
        <v>23</v>
      </c>
      <c r="J122" t="s">
        <v>30</v>
      </c>
      <c r="K122" t="s">
        <v>24</v>
      </c>
    </row>
    <row r="123" spans="1:11" x14ac:dyDescent="0.25">
      <c r="A123" t="s">
        <v>404</v>
      </c>
      <c r="B123" t="s">
        <v>57</v>
      </c>
      <c r="C123" t="s">
        <v>405</v>
      </c>
      <c r="D123" t="s">
        <v>406</v>
      </c>
      <c r="E123" s="2">
        <v>46301</v>
      </c>
      <c r="F123" s="2">
        <v>46346</v>
      </c>
      <c r="G123">
        <v>22554.2</v>
      </c>
      <c r="H123" t="s">
        <v>15</v>
      </c>
      <c r="I123" t="s">
        <v>16</v>
      </c>
      <c r="J123" t="s">
        <v>17</v>
      </c>
      <c r="K123" t="s">
        <v>63</v>
      </c>
    </row>
    <row r="124" spans="1:11" x14ac:dyDescent="0.25">
      <c r="A124" t="s">
        <v>407</v>
      </c>
      <c r="B124" t="s">
        <v>102</v>
      </c>
      <c r="C124" t="s">
        <v>408</v>
      </c>
      <c r="D124" t="s">
        <v>409</v>
      </c>
      <c r="E124" s="2">
        <v>46131</v>
      </c>
      <c r="F124" s="2">
        <v>46176</v>
      </c>
      <c r="G124">
        <v>16085.61</v>
      </c>
      <c r="H124" t="s">
        <v>15</v>
      </c>
      <c r="I124" t="s">
        <v>39</v>
      </c>
      <c r="J124" t="s">
        <v>17</v>
      </c>
      <c r="K124" t="s">
        <v>18</v>
      </c>
    </row>
    <row r="125" spans="1:11" x14ac:dyDescent="0.25">
      <c r="A125" t="s">
        <v>410</v>
      </c>
      <c r="B125" t="s">
        <v>170</v>
      </c>
      <c r="C125" t="s">
        <v>411</v>
      </c>
      <c r="D125" t="s">
        <v>412</v>
      </c>
      <c r="E125" s="2">
        <v>46128</v>
      </c>
      <c r="F125" s="2">
        <v>46158</v>
      </c>
      <c r="G125">
        <v>1827.02</v>
      </c>
      <c r="H125" t="s">
        <v>15</v>
      </c>
      <c r="I125" t="s">
        <v>16</v>
      </c>
      <c r="J125" t="s">
        <v>17</v>
      </c>
      <c r="K125" t="s">
        <v>63</v>
      </c>
    </row>
    <row r="126" spans="1:11" x14ac:dyDescent="0.25">
      <c r="A126" t="s">
        <v>413</v>
      </c>
      <c r="B126" t="s">
        <v>122</v>
      </c>
      <c r="C126" t="s">
        <v>414</v>
      </c>
      <c r="D126" t="s">
        <v>415</v>
      </c>
      <c r="E126" s="2">
        <v>46024</v>
      </c>
      <c r="F126" s="2">
        <v>46039</v>
      </c>
      <c r="G126">
        <v>7018.6</v>
      </c>
      <c r="H126" t="s">
        <v>15</v>
      </c>
      <c r="I126" t="s">
        <v>16</v>
      </c>
      <c r="J126" t="s">
        <v>17</v>
      </c>
      <c r="K126" t="s">
        <v>24</v>
      </c>
    </row>
    <row r="127" spans="1:11" x14ac:dyDescent="0.25">
      <c r="A127" t="s">
        <v>416</v>
      </c>
      <c r="B127" t="s">
        <v>71</v>
      </c>
      <c r="C127" t="s">
        <v>417</v>
      </c>
      <c r="D127" t="s">
        <v>418</v>
      </c>
      <c r="E127" s="2">
        <v>46090</v>
      </c>
      <c r="F127" s="2">
        <v>46105</v>
      </c>
      <c r="G127">
        <v>489.72</v>
      </c>
      <c r="H127" t="s">
        <v>15</v>
      </c>
      <c r="I127" t="s">
        <v>16</v>
      </c>
      <c r="J127" t="s">
        <v>17</v>
      </c>
      <c r="K127" t="s">
        <v>18</v>
      </c>
    </row>
    <row r="128" spans="1:11" x14ac:dyDescent="0.25">
      <c r="A128" t="s">
        <v>419</v>
      </c>
      <c r="B128" t="s">
        <v>122</v>
      </c>
      <c r="C128" t="s">
        <v>420</v>
      </c>
      <c r="D128" t="s">
        <v>421</v>
      </c>
      <c r="E128" s="2">
        <v>46238</v>
      </c>
      <c r="F128" s="2">
        <v>46253</v>
      </c>
      <c r="G128">
        <v>13209.01</v>
      </c>
      <c r="H128" t="s">
        <v>15</v>
      </c>
      <c r="I128" t="s">
        <v>39</v>
      </c>
      <c r="J128" t="s">
        <v>17</v>
      </c>
      <c r="K128" t="s">
        <v>18</v>
      </c>
    </row>
    <row r="129" spans="1:11" x14ac:dyDescent="0.25">
      <c r="A129" t="s">
        <v>422</v>
      </c>
      <c r="B129" t="s">
        <v>112</v>
      </c>
      <c r="C129" t="s">
        <v>423</v>
      </c>
      <c r="D129" t="s">
        <v>424</v>
      </c>
      <c r="E129" s="2">
        <v>46280</v>
      </c>
      <c r="F129" s="2">
        <v>46295</v>
      </c>
      <c r="G129">
        <v>5632.16</v>
      </c>
      <c r="H129" t="s">
        <v>15</v>
      </c>
      <c r="I129" t="s">
        <v>16</v>
      </c>
      <c r="J129" t="s">
        <v>17</v>
      </c>
      <c r="K129" t="s">
        <v>18</v>
      </c>
    </row>
    <row r="130" spans="1:11" x14ac:dyDescent="0.25">
      <c r="A130" t="s">
        <v>425</v>
      </c>
      <c r="B130" t="s">
        <v>89</v>
      </c>
      <c r="C130" t="s">
        <v>426</v>
      </c>
      <c r="D130" t="s">
        <v>427</v>
      </c>
      <c r="E130" s="2">
        <v>46268</v>
      </c>
      <c r="F130" s="2">
        <v>46283</v>
      </c>
      <c r="G130">
        <v>21200.79</v>
      </c>
      <c r="H130" t="s">
        <v>15</v>
      </c>
      <c r="I130" t="s">
        <v>39</v>
      </c>
      <c r="J130" t="s">
        <v>17</v>
      </c>
      <c r="K130" t="s">
        <v>18</v>
      </c>
    </row>
    <row r="131" spans="1:11" x14ac:dyDescent="0.25">
      <c r="A131" t="s">
        <v>428</v>
      </c>
      <c r="B131" t="s">
        <v>26</v>
      </c>
      <c r="C131" t="s">
        <v>429</v>
      </c>
      <c r="D131" t="s">
        <v>430</v>
      </c>
      <c r="E131" s="2">
        <v>46098</v>
      </c>
      <c r="F131" s="2">
        <v>46128</v>
      </c>
      <c r="G131">
        <v>1754.17</v>
      </c>
      <c r="H131" t="s">
        <v>15</v>
      </c>
      <c r="I131" t="s">
        <v>16</v>
      </c>
      <c r="J131" t="s">
        <v>17</v>
      </c>
      <c r="K131" t="s">
        <v>24</v>
      </c>
    </row>
    <row r="132" spans="1:11" x14ac:dyDescent="0.25">
      <c r="A132" t="s">
        <v>431</v>
      </c>
      <c r="B132" t="s">
        <v>36</v>
      </c>
      <c r="C132" t="s">
        <v>432</v>
      </c>
      <c r="D132" t="s">
        <v>433</v>
      </c>
      <c r="E132" s="2">
        <v>46173</v>
      </c>
      <c r="F132" s="2">
        <v>46203</v>
      </c>
      <c r="G132">
        <v>11408.44</v>
      </c>
      <c r="H132" t="s">
        <v>15</v>
      </c>
      <c r="I132" t="s">
        <v>39</v>
      </c>
      <c r="J132" t="s">
        <v>17</v>
      </c>
      <c r="K132" t="s">
        <v>24</v>
      </c>
    </row>
    <row r="133" spans="1:11" x14ac:dyDescent="0.25">
      <c r="A133" t="s">
        <v>434</v>
      </c>
      <c r="B133" t="s">
        <v>32</v>
      </c>
      <c r="C133" t="s">
        <v>435</v>
      </c>
      <c r="D133" t="s">
        <v>436</v>
      </c>
      <c r="E133" s="2">
        <v>46133</v>
      </c>
      <c r="F133" s="2">
        <v>46163</v>
      </c>
      <c r="G133">
        <v>10820.14</v>
      </c>
      <c r="H133" t="s">
        <v>15</v>
      </c>
      <c r="I133" t="s">
        <v>39</v>
      </c>
      <c r="J133" t="s">
        <v>17</v>
      </c>
      <c r="K133" t="s">
        <v>24</v>
      </c>
    </row>
    <row r="134" spans="1:11" x14ac:dyDescent="0.25">
      <c r="A134" t="s">
        <v>437</v>
      </c>
      <c r="B134" t="s">
        <v>45</v>
      </c>
      <c r="C134" t="s">
        <v>438</v>
      </c>
      <c r="D134" t="s">
        <v>439</v>
      </c>
      <c r="E134" s="2">
        <v>46183</v>
      </c>
      <c r="F134" s="2">
        <v>46213</v>
      </c>
      <c r="G134">
        <v>10737.89</v>
      </c>
      <c r="H134" t="s">
        <v>15</v>
      </c>
      <c r="I134" t="s">
        <v>39</v>
      </c>
      <c r="J134" t="s">
        <v>17</v>
      </c>
      <c r="K134" t="s">
        <v>18</v>
      </c>
    </row>
    <row r="135" spans="1:11" x14ac:dyDescent="0.25">
      <c r="A135" t="s">
        <v>440</v>
      </c>
      <c r="B135" t="s">
        <v>102</v>
      </c>
      <c r="C135" t="s">
        <v>441</v>
      </c>
      <c r="D135" t="s">
        <v>442</v>
      </c>
      <c r="E135" s="2">
        <v>46070</v>
      </c>
      <c r="F135" s="2">
        <v>46115</v>
      </c>
      <c r="G135">
        <v>10865.09</v>
      </c>
      <c r="H135" t="s">
        <v>15</v>
      </c>
      <c r="I135" t="s">
        <v>29</v>
      </c>
      <c r="J135" t="s">
        <v>30</v>
      </c>
      <c r="K135" t="s">
        <v>24</v>
      </c>
    </row>
    <row r="136" spans="1:11" x14ac:dyDescent="0.25">
      <c r="A136" t="s">
        <v>443</v>
      </c>
      <c r="B136" t="s">
        <v>32</v>
      </c>
      <c r="C136" t="s">
        <v>444</v>
      </c>
      <c r="D136" t="s">
        <v>445</v>
      </c>
      <c r="E136" s="2">
        <v>46191</v>
      </c>
      <c r="F136" s="2">
        <v>46221</v>
      </c>
      <c r="G136">
        <v>16789.93</v>
      </c>
      <c r="H136" t="s">
        <v>15</v>
      </c>
      <c r="I136" t="s">
        <v>16</v>
      </c>
      <c r="J136" t="s">
        <v>17</v>
      </c>
      <c r="K136" t="s">
        <v>18</v>
      </c>
    </row>
    <row r="137" spans="1:11" x14ac:dyDescent="0.25">
      <c r="A137" t="s">
        <v>446</v>
      </c>
      <c r="B137" t="s">
        <v>163</v>
      </c>
      <c r="C137" t="s">
        <v>447</v>
      </c>
      <c r="D137" t="s">
        <v>448</v>
      </c>
      <c r="E137" s="2">
        <v>46182</v>
      </c>
      <c r="F137" s="2">
        <v>46197</v>
      </c>
      <c r="G137">
        <v>8868.9599999999991</v>
      </c>
      <c r="H137" t="s">
        <v>15</v>
      </c>
      <c r="I137" t="s">
        <v>16</v>
      </c>
      <c r="J137" t="s">
        <v>17</v>
      </c>
      <c r="K137" t="s">
        <v>18</v>
      </c>
    </row>
    <row r="138" spans="1:11" x14ac:dyDescent="0.25">
      <c r="A138" t="s">
        <v>449</v>
      </c>
      <c r="B138" t="s">
        <v>57</v>
      </c>
      <c r="C138" t="s">
        <v>450</v>
      </c>
      <c r="D138" t="s">
        <v>451</v>
      </c>
      <c r="E138" s="2">
        <v>46307</v>
      </c>
      <c r="F138" s="2">
        <v>46352</v>
      </c>
      <c r="G138">
        <v>9264.92</v>
      </c>
      <c r="H138" t="s">
        <v>15</v>
      </c>
      <c r="I138" t="s">
        <v>39</v>
      </c>
      <c r="J138" t="s">
        <v>17</v>
      </c>
      <c r="K138" t="s">
        <v>24</v>
      </c>
    </row>
    <row r="139" spans="1:11" x14ac:dyDescent="0.25">
      <c r="A139" t="s">
        <v>452</v>
      </c>
      <c r="B139" t="s">
        <v>138</v>
      </c>
      <c r="C139" t="s">
        <v>453</v>
      </c>
      <c r="D139" t="s">
        <v>454</v>
      </c>
      <c r="E139" s="2">
        <v>46308</v>
      </c>
      <c r="F139" s="2">
        <v>46353</v>
      </c>
      <c r="G139">
        <v>773.2</v>
      </c>
      <c r="H139" t="s">
        <v>15</v>
      </c>
      <c r="I139" t="s">
        <v>29</v>
      </c>
      <c r="J139" t="s">
        <v>17</v>
      </c>
      <c r="K139" t="s">
        <v>63</v>
      </c>
    </row>
    <row r="140" spans="1:11" x14ac:dyDescent="0.25">
      <c r="A140" t="s">
        <v>455</v>
      </c>
      <c r="B140" t="s">
        <v>26</v>
      </c>
      <c r="C140" t="s">
        <v>456</v>
      </c>
      <c r="D140" t="s">
        <v>457</v>
      </c>
      <c r="E140" s="2">
        <v>46202</v>
      </c>
      <c r="F140" s="2">
        <v>46232</v>
      </c>
      <c r="G140">
        <v>271.91000000000003</v>
      </c>
      <c r="H140" t="s">
        <v>15</v>
      </c>
      <c r="I140" t="s">
        <v>16</v>
      </c>
      <c r="J140" t="s">
        <v>17</v>
      </c>
      <c r="K140" t="s">
        <v>24</v>
      </c>
    </row>
    <row r="141" spans="1:11" x14ac:dyDescent="0.25">
      <c r="A141" t="s">
        <v>458</v>
      </c>
      <c r="B141" t="s">
        <v>71</v>
      </c>
      <c r="C141" t="s">
        <v>459</v>
      </c>
      <c r="D141" t="s">
        <v>460</v>
      </c>
      <c r="E141" s="2">
        <v>46069</v>
      </c>
      <c r="F141" s="2">
        <v>46084</v>
      </c>
      <c r="G141">
        <v>18683.259999999998</v>
      </c>
      <c r="H141" t="s">
        <v>15</v>
      </c>
      <c r="I141" t="s">
        <v>16</v>
      </c>
      <c r="J141" t="s">
        <v>17</v>
      </c>
      <c r="K141" t="s">
        <v>24</v>
      </c>
    </row>
    <row r="142" spans="1:11" x14ac:dyDescent="0.25">
      <c r="A142" t="s">
        <v>461</v>
      </c>
      <c r="B142" t="s">
        <v>26</v>
      </c>
      <c r="C142" t="s">
        <v>462</v>
      </c>
      <c r="D142" t="s">
        <v>463</v>
      </c>
      <c r="E142" s="2">
        <v>46066</v>
      </c>
      <c r="F142" s="2">
        <v>46096</v>
      </c>
      <c r="G142">
        <v>22097.55</v>
      </c>
      <c r="H142" t="s">
        <v>15</v>
      </c>
      <c r="I142" t="s">
        <v>16</v>
      </c>
      <c r="J142" t="s">
        <v>17</v>
      </c>
      <c r="K142" t="s">
        <v>24</v>
      </c>
    </row>
    <row r="143" spans="1:11" x14ac:dyDescent="0.25">
      <c r="A143" t="s">
        <v>464</v>
      </c>
      <c r="B143" t="s">
        <v>85</v>
      </c>
      <c r="C143" t="s">
        <v>465</v>
      </c>
      <c r="D143" t="s">
        <v>466</v>
      </c>
      <c r="E143" s="2">
        <v>46271</v>
      </c>
      <c r="F143" s="2">
        <v>46316</v>
      </c>
      <c r="G143">
        <v>15224.05</v>
      </c>
      <c r="H143" t="s">
        <v>15</v>
      </c>
      <c r="I143" t="s">
        <v>16</v>
      </c>
      <c r="J143" t="s">
        <v>17</v>
      </c>
      <c r="K143" t="s">
        <v>18</v>
      </c>
    </row>
    <row r="144" spans="1:11" x14ac:dyDescent="0.25">
      <c r="A144" t="s">
        <v>467</v>
      </c>
      <c r="B144" t="s">
        <v>163</v>
      </c>
      <c r="C144" t="s">
        <v>468</v>
      </c>
      <c r="D144" t="s">
        <v>469</v>
      </c>
      <c r="E144" s="2">
        <v>46272</v>
      </c>
      <c r="F144" s="2">
        <v>46287</v>
      </c>
      <c r="G144">
        <v>13230.12</v>
      </c>
      <c r="H144" t="s">
        <v>15</v>
      </c>
      <c r="I144" t="s">
        <v>23</v>
      </c>
      <c r="J144" t="s">
        <v>30</v>
      </c>
      <c r="K144" t="s">
        <v>18</v>
      </c>
    </row>
    <row r="145" spans="1:11" x14ac:dyDescent="0.25">
      <c r="A145" t="s">
        <v>470</v>
      </c>
      <c r="B145" t="s">
        <v>163</v>
      </c>
      <c r="C145" t="s">
        <v>471</v>
      </c>
      <c r="D145" t="s">
        <v>472</v>
      </c>
      <c r="E145" s="2">
        <v>46131</v>
      </c>
      <c r="F145" s="2">
        <v>46146</v>
      </c>
      <c r="G145">
        <v>19211.66</v>
      </c>
      <c r="H145" t="s">
        <v>15</v>
      </c>
      <c r="I145" t="s">
        <v>29</v>
      </c>
      <c r="J145" t="s">
        <v>17</v>
      </c>
      <c r="K145" t="s">
        <v>63</v>
      </c>
    </row>
    <row r="146" spans="1:11" x14ac:dyDescent="0.25">
      <c r="A146" t="s">
        <v>473</v>
      </c>
      <c r="B146" t="s">
        <v>12</v>
      </c>
      <c r="C146" t="s">
        <v>474</v>
      </c>
      <c r="D146" t="s">
        <v>475</v>
      </c>
      <c r="E146" s="2">
        <v>46089</v>
      </c>
      <c r="F146" s="2">
        <v>46104</v>
      </c>
      <c r="G146">
        <v>9579.56</v>
      </c>
      <c r="H146" t="s">
        <v>15</v>
      </c>
      <c r="I146" t="s">
        <v>39</v>
      </c>
      <c r="J146" t="s">
        <v>17</v>
      </c>
      <c r="K146" t="s">
        <v>18</v>
      </c>
    </row>
    <row r="147" spans="1:11" x14ac:dyDescent="0.25">
      <c r="A147" t="s">
        <v>476</v>
      </c>
      <c r="B147" t="s">
        <v>41</v>
      </c>
      <c r="C147" t="s">
        <v>477</v>
      </c>
      <c r="D147" t="s">
        <v>478</v>
      </c>
      <c r="E147" s="2">
        <v>46044</v>
      </c>
      <c r="F147" s="2">
        <v>46059</v>
      </c>
      <c r="G147">
        <v>10973.14</v>
      </c>
      <c r="H147" t="s">
        <v>15</v>
      </c>
      <c r="I147" t="s">
        <v>16</v>
      </c>
      <c r="J147" t="s">
        <v>17</v>
      </c>
      <c r="K147" t="s">
        <v>24</v>
      </c>
    </row>
    <row r="148" spans="1:11" x14ac:dyDescent="0.25">
      <c r="A148" t="s">
        <v>479</v>
      </c>
      <c r="B148" t="s">
        <v>85</v>
      </c>
      <c r="C148" t="s">
        <v>480</v>
      </c>
      <c r="D148" t="s">
        <v>481</v>
      </c>
      <c r="E148" s="2">
        <v>46171</v>
      </c>
      <c r="F148" s="2">
        <v>46216</v>
      </c>
      <c r="G148">
        <v>36366.89</v>
      </c>
      <c r="H148" t="s">
        <v>15</v>
      </c>
      <c r="I148" t="s">
        <v>39</v>
      </c>
      <c r="J148" t="s">
        <v>17</v>
      </c>
      <c r="K148" t="s">
        <v>18</v>
      </c>
    </row>
    <row r="149" spans="1:11" x14ac:dyDescent="0.25">
      <c r="A149" t="s">
        <v>482</v>
      </c>
      <c r="B149" t="s">
        <v>85</v>
      </c>
      <c r="C149" t="s">
        <v>483</v>
      </c>
      <c r="D149" t="s">
        <v>484</v>
      </c>
      <c r="E149" s="2">
        <v>46077</v>
      </c>
      <c r="F149" s="2">
        <v>46122</v>
      </c>
      <c r="G149">
        <v>6173.71</v>
      </c>
      <c r="H149" t="s">
        <v>15</v>
      </c>
      <c r="I149" t="s">
        <v>16</v>
      </c>
      <c r="J149" t="s">
        <v>17</v>
      </c>
      <c r="K149" t="s">
        <v>63</v>
      </c>
    </row>
    <row r="150" spans="1:11" x14ac:dyDescent="0.25">
      <c r="A150" t="s">
        <v>485</v>
      </c>
      <c r="B150" t="s">
        <v>20</v>
      </c>
      <c r="C150" t="s">
        <v>486</v>
      </c>
      <c r="D150" t="s">
        <v>487</v>
      </c>
      <c r="E150" s="2">
        <v>46193</v>
      </c>
      <c r="F150" s="2">
        <v>46208</v>
      </c>
      <c r="G150">
        <v>47162.86</v>
      </c>
      <c r="H150" t="s">
        <v>15</v>
      </c>
      <c r="I150" t="s">
        <v>29</v>
      </c>
      <c r="J150" t="s">
        <v>17</v>
      </c>
      <c r="K150" t="s">
        <v>63</v>
      </c>
    </row>
    <row r="151" spans="1:11" x14ac:dyDescent="0.25">
      <c r="A151" t="s">
        <v>488</v>
      </c>
      <c r="B151" t="s">
        <v>122</v>
      </c>
      <c r="C151" t="s">
        <v>489</v>
      </c>
      <c r="D151" t="s">
        <v>490</v>
      </c>
      <c r="E151" s="2">
        <v>46143</v>
      </c>
      <c r="F151" s="2">
        <v>46158</v>
      </c>
      <c r="G151">
        <v>2677.78</v>
      </c>
      <c r="H151" t="s">
        <v>15</v>
      </c>
      <c r="I151" t="s">
        <v>29</v>
      </c>
      <c r="J151" t="s">
        <v>17</v>
      </c>
      <c r="K151" t="s">
        <v>18</v>
      </c>
    </row>
    <row r="152" spans="1:11" x14ac:dyDescent="0.25">
      <c r="A152" t="s">
        <v>491</v>
      </c>
      <c r="B152" t="s">
        <v>12</v>
      </c>
      <c r="C152" t="s">
        <v>492</v>
      </c>
      <c r="D152" t="s">
        <v>493</v>
      </c>
      <c r="E152" s="2">
        <v>46275</v>
      </c>
      <c r="F152" s="2">
        <v>46290</v>
      </c>
      <c r="G152">
        <v>11663.15</v>
      </c>
      <c r="H152" t="s">
        <v>15</v>
      </c>
      <c r="I152" t="s">
        <v>39</v>
      </c>
      <c r="J152" t="s">
        <v>17</v>
      </c>
      <c r="K152" t="s">
        <v>24</v>
      </c>
    </row>
    <row r="153" spans="1:11" x14ac:dyDescent="0.25">
      <c r="A153" t="s">
        <v>494</v>
      </c>
      <c r="B153" t="s">
        <v>138</v>
      </c>
      <c r="C153" t="s">
        <v>495</v>
      </c>
      <c r="D153" t="s">
        <v>496</v>
      </c>
      <c r="E153" s="2">
        <v>46188</v>
      </c>
      <c r="F153" s="2">
        <v>46233</v>
      </c>
      <c r="G153">
        <v>21622.46</v>
      </c>
      <c r="H153" t="s">
        <v>15</v>
      </c>
      <c r="I153" t="s">
        <v>29</v>
      </c>
      <c r="J153" t="s">
        <v>17</v>
      </c>
      <c r="K153" t="s">
        <v>63</v>
      </c>
    </row>
    <row r="154" spans="1:11" x14ac:dyDescent="0.25">
      <c r="A154" t="s">
        <v>497</v>
      </c>
      <c r="B154" t="s">
        <v>49</v>
      </c>
      <c r="C154" t="s">
        <v>498</v>
      </c>
      <c r="D154" t="s">
        <v>499</v>
      </c>
      <c r="E154" s="2">
        <v>46051</v>
      </c>
      <c r="F154" s="2">
        <v>46081</v>
      </c>
      <c r="G154">
        <v>41160.99</v>
      </c>
      <c r="H154" t="s">
        <v>15</v>
      </c>
      <c r="I154" t="s">
        <v>16</v>
      </c>
      <c r="J154" t="s">
        <v>17</v>
      </c>
      <c r="K154" t="s">
        <v>24</v>
      </c>
    </row>
    <row r="155" spans="1:11" x14ac:dyDescent="0.25">
      <c r="A155" t="s">
        <v>500</v>
      </c>
      <c r="B155" t="s">
        <v>102</v>
      </c>
      <c r="C155" t="s">
        <v>501</v>
      </c>
      <c r="D155" t="s">
        <v>502</v>
      </c>
      <c r="E155" s="2">
        <v>46282</v>
      </c>
      <c r="F155" s="2">
        <v>46327</v>
      </c>
      <c r="G155">
        <v>9685.92</v>
      </c>
      <c r="H155" t="s">
        <v>15</v>
      </c>
      <c r="I155" t="s">
        <v>23</v>
      </c>
      <c r="J155" t="s">
        <v>17</v>
      </c>
      <c r="K155" t="s">
        <v>18</v>
      </c>
    </row>
    <row r="156" spans="1:11" x14ac:dyDescent="0.25">
      <c r="A156" t="s">
        <v>503</v>
      </c>
      <c r="B156" t="s">
        <v>26</v>
      </c>
      <c r="C156" t="s">
        <v>504</v>
      </c>
      <c r="D156" t="s">
        <v>505</v>
      </c>
      <c r="E156" s="2">
        <v>46266</v>
      </c>
      <c r="F156" s="2">
        <v>46296</v>
      </c>
      <c r="G156">
        <v>12594.02</v>
      </c>
      <c r="H156" t="s">
        <v>15</v>
      </c>
      <c r="I156" t="s">
        <v>39</v>
      </c>
      <c r="J156" t="s">
        <v>17</v>
      </c>
      <c r="K156" t="s">
        <v>24</v>
      </c>
    </row>
    <row r="157" spans="1:11" x14ac:dyDescent="0.25">
      <c r="A157" t="s">
        <v>506</v>
      </c>
      <c r="B157" t="s">
        <v>102</v>
      </c>
      <c r="C157" t="s">
        <v>507</v>
      </c>
      <c r="D157" t="s">
        <v>508</v>
      </c>
      <c r="E157" s="2">
        <v>46281</v>
      </c>
      <c r="F157" s="2">
        <v>46326</v>
      </c>
      <c r="G157">
        <v>49766.76</v>
      </c>
      <c r="H157" t="s">
        <v>15</v>
      </c>
      <c r="I157" t="s">
        <v>16</v>
      </c>
      <c r="J157" t="s">
        <v>17</v>
      </c>
      <c r="K157" t="s">
        <v>63</v>
      </c>
    </row>
    <row r="158" spans="1:11" x14ac:dyDescent="0.25">
      <c r="A158" t="s">
        <v>509</v>
      </c>
      <c r="B158" t="s">
        <v>163</v>
      </c>
      <c r="C158" t="s">
        <v>510</v>
      </c>
      <c r="D158" t="s">
        <v>511</v>
      </c>
      <c r="E158" s="2">
        <v>46221</v>
      </c>
      <c r="F158" s="2">
        <v>46236</v>
      </c>
      <c r="G158">
        <v>10290.18</v>
      </c>
      <c r="H158" t="s">
        <v>15</v>
      </c>
      <c r="I158" t="s">
        <v>39</v>
      </c>
      <c r="J158" t="s">
        <v>17</v>
      </c>
      <c r="K158" t="s">
        <v>18</v>
      </c>
    </row>
    <row r="159" spans="1:11" x14ac:dyDescent="0.25">
      <c r="A159" t="s">
        <v>512</v>
      </c>
      <c r="B159" t="s">
        <v>26</v>
      </c>
      <c r="C159" t="s">
        <v>513</v>
      </c>
      <c r="D159" t="s">
        <v>514</v>
      </c>
      <c r="E159" s="2">
        <v>46071</v>
      </c>
      <c r="F159" s="2">
        <v>46101</v>
      </c>
      <c r="G159">
        <v>14002.12</v>
      </c>
      <c r="H159" t="s">
        <v>15</v>
      </c>
      <c r="I159" t="s">
        <v>23</v>
      </c>
      <c r="J159" t="s">
        <v>17</v>
      </c>
      <c r="K159" t="s">
        <v>24</v>
      </c>
    </row>
    <row r="160" spans="1:11" x14ac:dyDescent="0.25">
      <c r="A160" t="s">
        <v>515</v>
      </c>
      <c r="B160" t="s">
        <v>122</v>
      </c>
      <c r="C160" t="s">
        <v>516</v>
      </c>
      <c r="D160" t="s">
        <v>517</v>
      </c>
      <c r="E160" s="2">
        <v>46193</v>
      </c>
      <c r="F160" s="2">
        <v>46208</v>
      </c>
      <c r="G160">
        <v>2147.77</v>
      </c>
      <c r="H160" t="s">
        <v>15</v>
      </c>
      <c r="I160" t="s">
        <v>23</v>
      </c>
      <c r="J160" t="s">
        <v>17</v>
      </c>
      <c r="K160" t="s">
        <v>63</v>
      </c>
    </row>
    <row r="161" spans="1:11" x14ac:dyDescent="0.25">
      <c r="A161" t="s">
        <v>518</v>
      </c>
      <c r="B161" t="s">
        <v>122</v>
      </c>
      <c r="C161" t="s">
        <v>519</v>
      </c>
      <c r="D161" t="s">
        <v>520</v>
      </c>
      <c r="E161" s="2">
        <v>46066</v>
      </c>
      <c r="F161" s="2">
        <v>46081</v>
      </c>
      <c r="G161">
        <v>7822.4</v>
      </c>
      <c r="H161" t="s">
        <v>15</v>
      </c>
      <c r="I161" t="s">
        <v>29</v>
      </c>
      <c r="J161" t="s">
        <v>17</v>
      </c>
      <c r="K161" t="s">
        <v>24</v>
      </c>
    </row>
    <row r="162" spans="1:11" x14ac:dyDescent="0.25">
      <c r="A162" t="s">
        <v>521</v>
      </c>
      <c r="B162" t="s">
        <v>36</v>
      </c>
      <c r="C162" t="s">
        <v>522</v>
      </c>
      <c r="D162" t="s">
        <v>523</v>
      </c>
      <c r="E162" s="2">
        <v>46070</v>
      </c>
      <c r="F162" s="2">
        <v>46100</v>
      </c>
      <c r="G162">
        <v>16193.1</v>
      </c>
      <c r="H162" t="s">
        <v>15</v>
      </c>
      <c r="I162" t="s">
        <v>16</v>
      </c>
      <c r="J162" t="s">
        <v>17</v>
      </c>
      <c r="K162" t="s">
        <v>18</v>
      </c>
    </row>
    <row r="163" spans="1:11" x14ac:dyDescent="0.25">
      <c r="A163" t="s">
        <v>524</v>
      </c>
      <c r="B163" t="s">
        <v>26</v>
      </c>
      <c r="C163" t="s">
        <v>525</v>
      </c>
      <c r="D163" t="s">
        <v>526</v>
      </c>
      <c r="E163" s="2">
        <v>46271</v>
      </c>
      <c r="F163" s="2">
        <v>46301</v>
      </c>
      <c r="G163">
        <v>4897.09</v>
      </c>
      <c r="H163" t="s">
        <v>15</v>
      </c>
      <c r="I163" t="s">
        <v>16</v>
      </c>
      <c r="J163" t="s">
        <v>17</v>
      </c>
      <c r="K163" t="s">
        <v>24</v>
      </c>
    </row>
    <row r="164" spans="1:11" x14ac:dyDescent="0.25">
      <c r="A164" t="s">
        <v>527</v>
      </c>
      <c r="B164" t="s">
        <v>32</v>
      </c>
      <c r="C164" t="s">
        <v>528</v>
      </c>
      <c r="D164" t="s">
        <v>529</v>
      </c>
      <c r="E164" s="2">
        <v>46292</v>
      </c>
      <c r="F164" s="2">
        <v>46322</v>
      </c>
      <c r="G164">
        <v>1059.1600000000001</v>
      </c>
      <c r="H164" t="s">
        <v>15</v>
      </c>
      <c r="I164" t="s">
        <v>16</v>
      </c>
      <c r="J164" t="s">
        <v>17</v>
      </c>
      <c r="K164" t="s">
        <v>18</v>
      </c>
    </row>
    <row r="165" spans="1:11" x14ac:dyDescent="0.25">
      <c r="A165" t="s">
        <v>530</v>
      </c>
      <c r="B165" t="s">
        <v>138</v>
      </c>
      <c r="C165" t="s">
        <v>531</v>
      </c>
      <c r="D165" t="s">
        <v>532</v>
      </c>
      <c r="E165" s="2">
        <v>46107</v>
      </c>
      <c r="F165" s="2">
        <v>46152</v>
      </c>
      <c r="G165">
        <v>37750.480000000003</v>
      </c>
      <c r="H165" t="s">
        <v>15</v>
      </c>
      <c r="I165" t="s">
        <v>16</v>
      </c>
      <c r="J165" t="s">
        <v>17</v>
      </c>
      <c r="K165" t="s">
        <v>63</v>
      </c>
    </row>
    <row r="166" spans="1:11" x14ac:dyDescent="0.25">
      <c r="A166" t="s">
        <v>533</v>
      </c>
      <c r="B166" t="s">
        <v>20</v>
      </c>
      <c r="C166" t="s">
        <v>534</v>
      </c>
      <c r="D166" t="s">
        <v>535</v>
      </c>
      <c r="E166" s="2">
        <v>46296</v>
      </c>
      <c r="F166" s="2">
        <v>46311</v>
      </c>
      <c r="G166">
        <v>6070.51</v>
      </c>
      <c r="H166" t="s">
        <v>15</v>
      </c>
      <c r="I166" t="s">
        <v>29</v>
      </c>
      <c r="J166" t="s">
        <v>17</v>
      </c>
      <c r="K166" t="s">
        <v>24</v>
      </c>
    </row>
    <row r="167" spans="1:11" x14ac:dyDescent="0.25">
      <c r="A167" t="s">
        <v>536</v>
      </c>
      <c r="B167" t="s">
        <v>112</v>
      </c>
      <c r="C167" t="s">
        <v>537</v>
      </c>
      <c r="D167" t="s">
        <v>538</v>
      </c>
      <c r="E167" s="2">
        <v>46259</v>
      </c>
      <c r="F167" s="2">
        <v>46274</v>
      </c>
      <c r="G167">
        <v>19263.63</v>
      </c>
      <c r="H167" t="s">
        <v>15</v>
      </c>
      <c r="I167" t="s">
        <v>16</v>
      </c>
      <c r="J167" t="s">
        <v>17</v>
      </c>
      <c r="K167" t="s">
        <v>18</v>
      </c>
    </row>
    <row r="168" spans="1:11" x14ac:dyDescent="0.25">
      <c r="A168" t="s">
        <v>539</v>
      </c>
      <c r="B168" t="s">
        <v>138</v>
      </c>
      <c r="C168" t="s">
        <v>540</v>
      </c>
      <c r="D168" t="s">
        <v>541</v>
      </c>
      <c r="E168" s="2">
        <v>46093</v>
      </c>
      <c r="F168" s="2">
        <v>46138</v>
      </c>
      <c r="G168">
        <v>41820.67</v>
      </c>
      <c r="H168" t="s">
        <v>15</v>
      </c>
      <c r="I168" t="s">
        <v>23</v>
      </c>
      <c r="J168" t="s">
        <v>17</v>
      </c>
      <c r="K168" t="s">
        <v>24</v>
      </c>
    </row>
    <row r="169" spans="1:11" x14ac:dyDescent="0.25">
      <c r="A169" t="s">
        <v>542</v>
      </c>
      <c r="B169" t="s">
        <v>45</v>
      </c>
      <c r="C169" t="s">
        <v>543</v>
      </c>
      <c r="D169" t="s">
        <v>544</v>
      </c>
      <c r="E169" s="2">
        <v>46168</v>
      </c>
      <c r="F169" s="2">
        <v>46198</v>
      </c>
      <c r="G169">
        <v>2206.81</v>
      </c>
      <c r="H169" t="s">
        <v>15</v>
      </c>
      <c r="I169" t="s">
        <v>29</v>
      </c>
      <c r="J169" t="s">
        <v>17</v>
      </c>
      <c r="K169" t="s">
        <v>18</v>
      </c>
    </row>
    <row r="170" spans="1:11" x14ac:dyDescent="0.25">
      <c r="A170" t="s">
        <v>545</v>
      </c>
      <c r="B170" t="s">
        <v>112</v>
      </c>
      <c r="C170" t="s">
        <v>546</v>
      </c>
      <c r="D170" t="s">
        <v>547</v>
      </c>
      <c r="E170" s="2">
        <v>46201</v>
      </c>
      <c r="F170" s="2">
        <v>46216</v>
      </c>
      <c r="G170">
        <v>23270.14</v>
      </c>
      <c r="H170" t="s">
        <v>15</v>
      </c>
      <c r="I170" t="s">
        <v>16</v>
      </c>
      <c r="J170" t="s">
        <v>17</v>
      </c>
      <c r="K170" t="s">
        <v>18</v>
      </c>
    </row>
    <row r="171" spans="1:11" x14ac:dyDescent="0.25">
      <c r="A171" t="s">
        <v>548</v>
      </c>
      <c r="B171" t="s">
        <v>57</v>
      </c>
      <c r="C171" t="s">
        <v>549</v>
      </c>
      <c r="D171" t="s">
        <v>550</v>
      </c>
      <c r="E171" s="2">
        <v>46137</v>
      </c>
      <c r="F171" s="2">
        <v>46182</v>
      </c>
      <c r="G171">
        <v>821.31</v>
      </c>
      <c r="H171" t="s">
        <v>15</v>
      </c>
      <c r="I171" t="s">
        <v>39</v>
      </c>
      <c r="J171" t="s">
        <v>30</v>
      </c>
      <c r="K171" t="s">
        <v>63</v>
      </c>
    </row>
    <row r="172" spans="1:11" x14ac:dyDescent="0.25">
      <c r="A172" t="s">
        <v>551</v>
      </c>
      <c r="B172" t="s">
        <v>75</v>
      </c>
      <c r="C172" t="s">
        <v>552</v>
      </c>
      <c r="D172" t="s">
        <v>553</v>
      </c>
      <c r="E172" s="2">
        <v>46094</v>
      </c>
      <c r="F172" s="2">
        <v>46109</v>
      </c>
      <c r="G172">
        <v>18999.97</v>
      </c>
      <c r="H172" t="s">
        <v>15</v>
      </c>
      <c r="I172" t="s">
        <v>23</v>
      </c>
      <c r="J172" t="s">
        <v>30</v>
      </c>
      <c r="K172" t="s">
        <v>18</v>
      </c>
    </row>
    <row r="173" spans="1:11" x14ac:dyDescent="0.25">
      <c r="A173" t="s">
        <v>554</v>
      </c>
      <c r="B173" t="s">
        <v>122</v>
      </c>
      <c r="C173" t="s">
        <v>555</v>
      </c>
      <c r="D173" t="s">
        <v>556</v>
      </c>
      <c r="E173" s="2">
        <v>46303</v>
      </c>
      <c r="F173" s="2">
        <v>46318</v>
      </c>
      <c r="G173">
        <v>23512.82</v>
      </c>
      <c r="H173" t="s">
        <v>15</v>
      </c>
      <c r="I173" t="s">
        <v>39</v>
      </c>
      <c r="J173" t="s">
        <v>17</v>
      </c>
      <c r="K173" t="s">
        <v>18</v>
      </c>
    </row>
    <row r="174" spans="1:11" x14ac:dyDescent="0.25">
      <c r="A174" t="s">
        <v>557</v>
      </c>
      <c r="B174" t="s">
        <v>89</v>
      </c>
      <c r="C174" t="s">
        <v>558</v>
      </c>
      <c r="D174" t="s">
        <v>559</v>
      </c>
      <c r="E174" s="2">
        <v>46145</v>
      </c>
      <c r="F174" s="2">
        <v>46160</v>
      </c>
      <c r="G174">
        <v>10565.26</v>
      </c>
      <c r="H174" t="s">
        <v>15</v>
      </c>
      <c r="I174" t="s">
        <v>29</v>
      </c>
      <c r="J174" t="s">
        <v>17</v>
      </c>
      <c r="K174" t="s">
        <v>24</v>
      </c>
    </row>
    <row r="175" spans="1:11" x14ac:dyDescent="0.25">
      <c r="A175" t="s">
        <v>560</v>
      </c>
      <c r="B175" t="s">
        <v>32</v>
      </c>
      <c r="C175" t="s">
        <v>561</v>
      </c>
      <c r="D175" t="s">
        <v>562</v>
      </c>
      <c r="E175" s="2">
        <v>46031</v>
      </c>
      <c r="F175" s="2">
        <v>46061</v>
      </c>
      <c r="G175">
        <v>15843.04</v>
      </c>
      <c r="H175" t="s">
        <v>15</v>
      </c>
      <c r="I175" t="s">
        <v>16</v>
      </c>
      <c r="J175" t="s">
        <v>17</v>
      </c>
      <c r="K175" t="s">
        <v>18</v>
      </c>
    </row>
    <row r="176" spans="1:11" x14ac:dyDescent="0.25">
      <c r="A176" t="s">
        <v>563</v>
      </c>
      <c r="B176" t="s">
        <v>170</v>
      </c>
      <c r="C176" t="s">
        <v>564</v>
      </c>
      <c r="D176" t="s">
        <v>565</v>
      </c>
      <c r="E176" s="2">
        <v>46236</v>
      </c>
      <c r="F176" s="2">
        <v>46266</v>
      </c>
      <c r="G176">
        <v>4780.37</v>
      </c>
      <c r="H176" t="s">
        <v>15</v>
      </c>
      <c r="I176" t="s">
        <v>29</v>
      </c>
      <c r="J176" t="s">
        <v>17</v>
      </c>
      <c r="K176" t="s">
        <v>24</v>
      </c>
    </row>
    <row r="177" spans="1:11" x14ac:dyDescent="0.25">
      <c r="A177" t="s">
        <v>566</v>
      </c>
      <c r="B177" t="s">
        <v>36</v>
      </c>
      <c r="C177" t="s">
        <v>567</v>
      </c>
      <c r="D177" t="s">
        <v>568</v>
      </c>
      <c r="E177" s="2">
        <v>46306</v>
      </c>
      <c r="F177" s="2">
        <v>46336</v>
      </c>
      <c r="G177">
        <v>625.91999999999996</v>
      </c>
      <c r="H177" t="s">
        <v>15</v>
      </c>
      <c r="I177" t="s">
        <v>16</v>
      </c>
      <c r="J177" t="s">
        <v>17</v>
      </c>
      <c r="K177" t="s">
        <v>24</v>
      </c>
    </row>
    <row r="178" spans="1:11" x14ac:dyDescent="0.25">
      <c r="A178" t="s">
        <v>569</v>
      </c>
      <c r="B178" t="s">
        <v>71</v>
      </c>
      <c r="C178" t="s">
        <v>570</v>
      </c>
      <c r="D178" t="s">
        <v>571</v>
      </c>
      <c r="E178" s="2">
        <v>46205</v>
      </c>
      <c r="F178" s="2">
        <v>46220</v>
      </c>
      <c r="G178">
        <v>19738.38</v>
      </c>
      <c r="H178" t="s">
        <v>15</v>
      </c>
      <c r="I178" t="s">
        <v>29</v>
      </c>
      <c r="J178" t="s">
        <v>17</v>
      </c>
      <c r="K178" t="s">
        <v>63</v>
      </c>
    </row>
    <row r="179" spans="1:11" x14ac:dyDescent="0.25">
      <c r="A179" t="s">
        <v>572</v>
      </c>
      <c r="B179" t="s">
        <v>122</v>
      </c>
      <c r="C179" t="s">
        <v>573</v>
      </c>
      <c r="D179" t="s">
        <v>574</v>
      </c>
      <c r="E179" s="2">
        <v>46045</v>
      </c>
      <c r="F179" s="2">
        <v>46060</v>
      </c>
      <c r="G179">
        <v>8885.2000000000007</v>
      </c>
      <c r="H179" t="s">
        <v>15</v>
      </c>
      <c r="I179" t="s">
        <v>39</v>
      </c>
      <c r="J179" t="s">
        <v>17</v>
      </c>
      <c r="K179" t="s">
        <v>24</v>
      </c>
    </row>
    <row r="180" spans="1:11" x14ac:dyDescent="0.25">
      <c r="A180" t="s">
        <v>575</v>
      </c>
      <c r="B180" t="s">
        <v>75</v>
      </c>
      <c r="C180" t="s">
        <v>576</v>
      </c>
      <c r="D180" t="s">
        <v>577</v>
      </c>
      <c r="E180" s="2">
        <v>46116</v>
      </c>
      <c r="F180" s="2">
        <v>46131</v>
      </c>
      <c r="G180">
        <v>52166.66</v>
      </c>
      <c r="H180" t="s">
        <v>15</v>
      </c>
      <c r="I180" t="s">
        <v>16</v>
      </c>
      <c r="J180" t="s">
        <v>30</v>
      </c>
      <c r="K180" t="s">
        <v>18</v>
      </c>
    </row>
    <row r="181" spans="1:11" x14ac:dyDescent="0.25">
      <c r="A181" t="s">
        <v>578</v>
      </c>
      <c r="B181" t="s">
        <v>89</v>
      </c>
      <c r="C181" t="s">
        <v>579</v>
      </c>
      <c r="D181" t="s">
        <v>580</v>
      </c>
      <c r="E181" s="2">
        <v>46184</v>
      </c>
      <c r="F181" s="2">
        <v>46199</v>
      </c>
      <c r="G181">
        <v>23342.27</v>
      </c>
      <c r="H181" t="s">
        <v>15</v>
      </c>
      <c r="I181" t="s">
        <v>16</v>
      </c>
      <c r="J181" t="s">
        <v>17</v>
      </c>
      <c r="K181" t="s">
        <v>18</v>
      </c>
    </row>
    <row r="182" spans="1:11" x14ac:dyDescent="0.25">
      <c r="A182" t="s">
        <v>581</v>
      </c>
      <c r="B182" t="s">
        <v>163</v>
      </c>
      <c r="C182" t="s">
        <v>582</v>
      </c>
      <c r="D182" t="s">
        <v>583</v>
      </c>
      <c r="E182" s="2">
        <v>46205</v>
      </c>
      <c r="F182" s="2">
        <v>46220</v>
      </c>
      <c r="G182">
        <v>47950.6</v>
      </c>
      <c r="H182" t="s">
        <v>15</v>
      </c>
      <c r="I182" t="s">
        <v>39</v>
      </c>
      <c r="J182" t="s">
        <v>17</v>
      </c>
      <c r="K182" t="s">
        <v>63</v>
      </c>
    </row>
    <row r="183" spans="1:11" x14ac:dyDescent="0.25">
      <c r="A183" t="s">
        <v>584</v>
      </c>
      <c r="B183" t="s">
        <v>112</v>
      </c>
      <c r="C183" t="s">
        <v>585</v>
      </c>
      <c r="D183" t="s">
        <v>586</v>
      </c>
      <c r="E183" s="2">
        <v>46220</v>
      </c>
      <c r="F183" s="2">
        <v>46235</v>
      </c>
      <c r="G183">
        <v>8555.23</v>
      </c>
      <c r="H183" t="s">
        <v>15</v>
      </c>
      <c r="I183" t="s">
        <v>23</v>
      </c>
      <c r="J183" t="s">
        <v>17</v>
      </c>
      <c r="K183" t="s">
        <v>18</v>
      </c>
    </row>
    <row r="184" spans="1:11" x14ac:dyDescent="0.25">
      <c r="A184" t="s">
        <v>587</v>
      </c>
      <c r="B184" t="s">
        <v>85</v>
      </c>
      <c r="C184" t="s">
        <v>588</v>
      </c>
      <c r="D184" t="s">
        <v>589</v>
      </c>
      <c r="E184" s="2">
        <v>46063</v>
      </c>
      <c r="F184" s="2">
        <v>46108</v>
      </c>
      <c r="G184">
        <v>10833.51</v>
      </c>
      <c r="H184" t="s">
        <v>15</v>
      </c>
      <c r="I184" t="s">
        <v>16</v>
      </c>
      <c r="J184" t="s">
        <v>30</v>
      </c>
      <c r="K184" t="s">
        <v>63</v>
      </c>
    </row>
    <row r="185" spans="1:11" x14ac:dyDescent="0.25">
      <c r="A185" t="s">
        <v>590</v>
      </c>
      <c r="B185" t="s">
        <v>163</v>
      </c>
      <c r="C185" t="s">
        <v>591</v>
      </c>
      <c r="D185" t="s">
        <v>592</v>
      </c>
      <c r="E185" s="2">
        <v>46179</v>
      </c>
      <c r="F185" s="2">
        <v>46194</v>
      </c>
      <c r="G185">
        <v>11214.38</v>
      </c>
      <c r="H185" t="s">
        <v>15</v>
      </c>
      <c r="I185" t="s">
        <v>16</v>
      </c>
      <c r="J185" t="s">
        <v>17</v>
      </c>
      <c r="K185" t="s">
        <v>24</v>
      </c>
    </row>
    <row r="186" spans="1:11" x14ac:dyDescent="0.25">
      <c r="A186" t="s">
        <v>593</v>
      </c>
      <c r="B186" t="s">
        <v>57</v>
      </c>
      <c r="C186" t="s">
        <v>594</v>
      </c>
      <c r="D186" t="s">
        <v>595</v>
      </c>
      <c r="E186" s="2">
        <v>46245</v>
      </c>
      <c r="F186" s="2">
        <v>46290</v>
      </c>
      <c r="G186">
        <v>6950.94</v>
      </c>
      <c r="H186" t="s">
        <v>15</v>
      </c>
      <c r="I186" t="s">
        <v>16</v>
      </c>
      <c r="J186" t="s">
        <v>17</v>
      </c>
      <c r="K186" t="s">
        <v>24</v>
      </c>
    </row>
    <row r="187" spans="1:11" x14ac:dyDescent="0.25">
      <c r="A187" t="s">
        <v>596</v>
      </c>
      <c r="B187" t="s">
        <v>12</v>
      </c>
      <c r="C187" t="s">
        <v>597</v>
      </c>
      <c r="D187" t="s">
        <v>598</v>
      </c>
      <c r="E187" s="2">
        <v>46038</v>
      </c>
      <c r="F187" s="2">
        <v>46053</v>
      </c>
      <c r="G187">
        <v>3672.35</v>
      </c>
      <c r="H187" t="s">
        <v>15</v>
      </c>
      <c r="I187" t="s">
        <v>29</v>
      </c>
      <c r="J187" t="s">
        <v>17</v>
      </c>
      <c r="K187" t="s">
        <v>24</v>
      </c>
    </row>
    <row r="188" spans="1:11" x14ac:dyDescent="0.25">
      <c r="A188" t="s">
        <v>599</v>
      </c>
      <c r="B188" t="s">
        <v>57</v>
      </c>
      <c r="C188" t="s">
        <v>600</v>
      </c>
      <c r="D188" t="s">
        <v>601</v>
      </c>
      <c r="E188" s="2">
        <v>46208</v>
      </c>
      <c r="F188" s="2">
        <v>46253</v>
      </c>
      <c r="G188">
        <v>9645.42</v>
      </c>
      <c r="H188" t="s">
        <v>15</v>
      </c>
      <c r="I188" t="s">
        <v>16</v>
      </c>
      <c r="J188" t="s">
        <v>17</v>
      </c>
      <c r="K188" t="s">
        <v>63</v>
      </c>
    </row>
    <row r="189" spans="1:11" x14ac:dyDescent="0.25">
      <c r="A189" t="s">
        <v>602</v>
      </c>
      <c r="B189" t="s">
        <v>112</v>
      </c>
      <c r="C189" t="s">
        <v>603</v>
      </c>
      <c r="D189" t="s">
        <v>604</v>
      </c>
      <c r="E189" s="2">
        <v>46062</v>
      </c>
      <c r="F189" s="2">
        <v>46077</v>
      </c>
      <c r="G189">
        <v>14399.17</v>
      </c>
      <c r="H189" t="s">
        <v>15</v>
      </c>
      <c r="I189" t="s">
        <v>16</v>
      </c>
      <c r="J189" t="s">
        <v>17</v>
      </c>
      <c r="K189" t="s">
        <v>18</v>
      </c>
    </row>
    <row r="190" spans="1:11" x14ac:dyDescent="0.25">
      <c r="A190" t="s">
        <v>605</v>
      </c>
      <c r="B190" t="s">
        <v>71</v>
      </c>
      <c r="C190" t="s">
        <v>606</v>
      </c>
      <c r="D190" t="s">
        <v>607</v>
      </c>
      <c r="E190" s="2">
        <v>46118</v>
      </c>
      <c r="F190" s="2">
        <v>46133</v>
      </c>
      <c r="G190">
        <v>12536.21</v>
      </c>
      <c r="H190" t="s">
        <v>15</v>
      </c>
      <c r="I190" t="s">
        <v>16</v>
      </c>
      <c r="J190" t="s">
        <v>17</v>
      </c>
      <c r="K190" t="s">
        <v>63</v>
      </c>
    </row>
    <row r="191" spans="1:11" x14ac:dyDescent="0.25">
      <c r="A191" t="s">
        <v>608</v>
      </c>
      <c r="B191" t="s">
        <v>53</v>
      </c>
      <c r="C191" t="s">
        <v>609</v>
      </c>
      <c r="D191" t="s">
        <v>610</v>
      </c>
      <c r="E191" s="2">
        <v>46169</v>
      </c>
      <c r="F191" s="2">
        <v>46199</v>
      </c>
      <c r="G191">
        <v>17386.240000000002</v>
      </c>
      <c r="H191" t="s">
        <v>15</v>
      </c>
      <c r="I191" t="s">
        <v>29</v>
      </c>
      <c r="J191" t="s">
        <v>30</v>
      </c>
      <c r="K191" t="s">
        <v>18</v>
      </c>
    </row>
    <row r="192" spans="1:11" x14ac:dyDescent="0.25">
      <c r="A192" t="s">
        <v>611</v>
      </c>
      <c r="B192" t="s">
        <v>112</v>
      </c>
      <c r="C192" t="s">
        <v>612</v>
      </c>
      <c r="D192" t="s">
        <v>613</v>
      </c>
      <c r="E192" s="2">
        <v>46067</v>
      </c>
      <c r="F192" s="2">
        <v>46082</v>
      </c>
      <c r="G192">
        <v>20285.57</v>
      </c>
      <c r="H192" t="s">
        <v>15</v>
      </c>
      <c r="I192" t="s">
        <v>16</v>
      </c>
      <c r="J192" t="s">
        <v>30</v>
      </c>
      <c r="K192" t="s">
        <v>24</v>
      </c>
    </row>
    <row r="193" spans="1:11" x14ac:dyDescent="0.25">
      <c r="A193" t="s">
        <v>614</v>
      </c>
      <c r="B193" t="s">
        <v>163</v>
      </c>
      <c r="C193" t="s">
        <v>615</v>
      </c>
      <c r="D193" t="s">
        <v>616</v>
      </c>
      <c r="E193" s="2">
        <v>46176</v>
      </c>
      <c r="F193" s="2">
        <v>46191</v>
      </c>
      <c r="G193">
        <v>21301.89</v>
      </c>
      <c r="H193" t="s">
        <v>15</v>
      </c>
      <c r="I193" t="s">
        <v>39</v>
      </c>
      <c r="J193" t="s">
        <v>17</v>
      </c>
      <c r="K193" t="s">
        <v>18</v>
      </c>
    </row>
    <row r="194" spans="1:11" x14ac:dyDescent="0.25">
      <c r="A194" t="s">
        <v>617</v>
      </c>
      <c r="B194" t="s">
        <v>53</v>
      </c>
      <c r="C194" t="s">
        <v>618</v>
      </c>
      <c r="D194" t="s">
        <v>619</v>
      </c>
      <c r="E194" s="2">
        <v>46094</v>
      </c>
      <c r="F194" s="2">
        <v>46124</v>
      </c>
      <c r="G194">
        <v>6010</v>
      </c>
      <c r="H194" t="s">
        <v>15</v>
      </c>
      <c r="I194" t="s">
        <v>16</v>
      </c>
      <c r="J194" t="s">
        <v>17</v>
      </c>
      <c r="K194" t="s">
        <v>24</v>
      </c>
    </row>
    <row r="195" spans="1:11" x14ac:dyDescent="0.25">
      <c r="A195" t="s">
        <v>620</v>
      </c>
      <c r="B195" t="s">
        <v>122</v>
      </c>
      <c r="C195" t="s">
        <v>621</v>
      </c>
      <c r="D195" t="s">
        <v>622</v>
      </c>
      <c r="E195" s="2">
        <v>46067</v>
      </c>
      <c r="F195" s="2">
        <v>46082</v>
      </c>
      <c r="G195">
        <v>1755.81</v>
      </c>
      <c r="H195" t="s">
        <v>15</v>
      </c>
      <c r="I195" t="s">
        <v>16</v>
      </c>
      <c r="J195" t="s">
        <v>17</v>
      </c>
      <c r="K195" t="s">
        <v>24</v>
      </c>
    </row>
    <row r="196" spans="1:11" x14ac:dyDescent="0.25">
      <c r="A196" t="s">
        <v>623</v>
      </c>
      <c r="B196" t="s">
        <v>102</v>
      </c>
      <c r="C196" t="s">
        <v>624</v>
      </c>
      <c r="D196" t="s">
        <v>625</v>
      </c>
      <c r="E196" s="2">
        <v>46087</v>
      </c>
      <c r="F196" s="2">
        <v>46132</v>
      </c>
      <c r="G196">
        <v>24312.81</v>
      </c>
      <c r="H196" t="s">
        <v>15</v>
      </c>
      <c r="I196" t="s">
        <v>39</v>
      </c>
      <c r="J196" t="s">
        <v>17</v>
      </c>
      <c r="K196" t="s">
        <v>24</v>
      </c>
    </row>
    <row r="197" spans="1:11" x14ac:dyDescent="0.25">
      <c r="A197" t="s">
        <v>626</v>
      </c>
      <c r="B197" t="s">
        <v>170</v>
      </c>
      <c r="C197" t="s">
        <v>627</v>
      </c>
      <c r="D197" t="s">
        <v>628</v>
      </c>
      <c r="E197" s="2">
        <v>46116</v>
      </c>
      <c r="F197" s="2">
        <v>46146</v>
      </c>
      <c r="G197">
        <v>19222.41</v>
      </c>
      <c r="H197" t="s">
        <v>15</v>
      </c>
      <c r="I197" t="s">
        <v>39</v>
      </c>
      <c r="J197" t="s">
        <v>17</v>
      </c>
      <c r="K197" t="s">
        <v>63</v>
      </c>
    </row>
    <row r="198" spans="1:11" x14ac:dyDescent="0.25">
      <c r="A198" t="s">
        <v>629</v>
      </c>
      <c r="B198" t="s">
        <v>12</v>
      </c>
      <c r="C198" t="s">
        <v>630</v>
      </c>
      <c r="D198" t="s">
        <v>631</v>
      </c>
      <c r="E198" s="2">
        <v>46105</v>
      </c>
      <c r="F198" s="2">
        <v>46120</v>
      </c>
      <c r="G198">
        <v>8147.8</v>
      </c>
      <c r="H198" t="s">
        <v>15</v>
      </c>
      <c r="I198" t="s">
        <v>23</v>
      </c>
      <c r="J198" t="s">
        <v>17</v>
      </c>
      <c r="K198" t="s">
        <v>63</v>
      </c>
    </row>
    <row r="199" spans="1:11" x14ac:dyDescent="0.25">
      <c r="A199" t="s">
        <v>632</v>
      </c>
      <c r="B199" t="s">
        <v>53</v>
      </c>
      <c r="C199" t="s">
        <v>633</v>
      </c>
      <c r="D199" t="s">
        <v>634</v>
      </c>
      <c r="E199" s="2">
        <v>46305</v>
      </c>
      <c r="F199" s="2">
        <v>46335</v>
      </c>
      <c r="G199">
        <v>6948.34</v>
      </c>
      <c r="H199" t="s">
        <v>15</v>
      </c>
      <c r="I199" t="s">
        <v>29</v>
      </c>
      <c r="J199" t="s">
        <v>17</v>
      </c>
      <c r="K199" t="s">
        <v>24</v>
      </c>
    </row>
    <row r="200" spans="1:11" x14ac:dyDescent="0.25">
      <c r="A200" t="s">
        <v>635</v>
      </c>
      <c r="B200" t="s">
        <v>170</v>
      </c>
      <c r="C200" t="s">
        <v>636</v>
      </c>
      <c r="D200" t="s">
        <v>637</v>
      </c>
      <c r="E200" s="2">
        <v>46101</v>
      </c>
      <c r="F200" s="2">
        <v>46131</v>
      </c>
      <c r="G200">
        <v>4379.47</v>
      </c>
      <c r="H200" t="s">
        <v>15</v>
      </c>
      <c r="I200" t="s">
        <v>39</v>
      </c>
      <c r="J200" t="s">
        <v>17</v>
      </c>
      <c r="K200" t="s">
        <v>18</v>
      </c>
    </row>
    <row r="201" spans="1:11" x14ac:dyDescent="0.25">
      <c r="A201" t="s">
        <v>638</v>
      </c>
      <c r="B201" t="s">
        <v>102</v>
      </c>
      <c r="C201" t="s">
        <v>639</v>
      </c>
      <c r="D201" t="s">
        <v>640</v>
      </c>
      <c r="E201" s="2">
        <v>46046</v>
      </c>
      <c r="F201" s="2">
        <v>46091</v>
      </c>
      <c r="G201">
        <v>23719.85</v>
      </c>
      <c r="H201" t="s">
        <v>15</v>
      </c>
      <c r="I201" t="s">
        <v>16</v>
      </c>
      <c r="J201" t="s">
        <v>17</v>
      </c>
      <c r="K201" t="s">
        <v>24</v>
      </c>
    </row>
    <row r="202" spans="1:11" x14ac:dyDescent="0.25">
      <c r="A202" t="s">
        <v>641</v>
      </c>
      <c r="B202" t="s">
        <v>71</v>
      </c>
      <c r="C202" t="s">
        <v>642</v>
      </c>
      <c r="D202" t="s">
        <v>643</v>
      </c>
      <c r="E202" s="2">
        <v>46277</v>
      </c>
      <c r="F202" s="2">
        <v>46292</v>
      </c>
      <c r="G202">
        <v>22238.240000000002</v>
      </c>
      <c r="H202" t="s">
        <v>15</v>
      </c>
      <c r="I202" t="s">
        <v>16</v>
      </c>
      <c r="J202" t="s">
        <v>17</v>
      </c>
      <c r="K202" t="s">
        <v>24</v>
      </c>
    </row>
    <row r="203" spans="1:11" x14ac:dyDescent="0.25">
      <c r="A203" t="s">
        <v>644</v>
      </c>
      <c r="B203" t="s">
        <v>41</v>
      </c>
      <c r="C203" t="s">
        <v>645</v>
      </c>
      <c r="D203" t="s">
        <v>646</v>
      </c>
      <c r="E203" s="2">
        <v>46175</v>
      </c>
      <c r="F203" s="2">
        <v>46190</v>
      </c>
      <c r="G203">
        <v>11404.18</v>
      </c>
      <c r="H203" t="s">
        <v>15</v>
      </c>
      <c r="I203" t="s">
        <v>16</v>
      </c>
      <c r="J203" t="s">
        <v>17</v>
      </c>
      <c r="K203" t="s">
        <v>63</v>
      </c>
    </row>
    <row r="204" spans="1:11" x14ac:dyDescent="0.25">
      <c r="A204" t="s">
        <v>647</v>
      </c>
      <c r="B204" t="s">
        <v>138</v>
      </c>
      <c r="C204" t="s">
        <v>648</v>
      </c>
      <c r="D204" t="s">
        <v>649</v>
      </c>
      <c r="E204" s="2">
        <v>46096</v>
      </c>
      <c r="F204" s="2">
        <v>46141</v>
      </c>
      <c r="G204">
        <v>7897.05</v>
      </c>
      <c r="H204" t="s">
        <v>15</v>
      </c>
      <c r="I204" t="s">
        <v>29</v>
      </c>
      <c r="J204" t="s">
        <v>17</v>
      </c>
      <c r="K204" t="s">
        <v>24</v>
      </c>
    </row>
    <row r="205" spans="1:11" x14ac:dyDescent="0.25">
      <c r="A205" t="s">
        <v>650</v>
      </c>
      <c r="B205" t="s">
        <v>45</v>
      </c>
      <c r="C205" t="s">
        <v>651</v>
      </c>
      <c r="D205" t="s">
        <v>652</v>
      </c>
      <c r="E205" s="2">
        <v>46186</v>
      </c>
      <c r="F205" s="2">
        <v>46216</v>
      </c>
      <c r="G205">
        <v>6134.44</v>
      </c>
      <c r="H205" t="s">
        <v>15</v>
      </c>
      <c r="I205" t="s">
        <v>29</v>
      </c>
      <c r="J205" t="s">
        <v>30</v>
      </c>
      <c r="K205" t="s">
        <v>63</v>
      </c>
    </row>
    <row r="206" spans="1:11" x14ac:dyDescent="0.25">
      <c r="A206" t="s">
        <v>653</v>
      </c>
      <c r="B206" t="s">
        <v>138</v>
      </c>
      <c r="C206" t="s">
        <v>654</v>
      </c>
      <c r="D206" t="s">
        <v>655</v>
      </c>
      <c r="E206" s="2">
        <v>46237</v>
      </c>
      <c r="F206" s="2">
        <v>46282</v>
      </c>
      <c r="G206">
        <v>6296.96</v>
      </c>
      <c r="H206" t="s">
        <v>15</v>
      </c>
      <c r="I206" t="s">
        <v>16</v>
      </c>
      <c r="J206" t="s">
        <v>17</v>
      </c>
      <c r="K206" t="s">
        <v>63</v>
      </c>
    </row>
    <row r="207" spans="1:11" x14ac:dyDescent="0.25">
      <c r="A207" t="s">
        <v>656</v>
      </c>
      <c r="B207" t="s">
        <v>53</v>
      </c>
      <c r="C207" t="s">
        <v>657</v>
      </c>
      <c r="D207" t="s">
        <v>658</v>
      </c>
      <c r="E207" s="2">
        <v>46104</v>
      </c>
      <c r="F207" s="2">
        <v>46134</v>
      </c>
      <c r="G207">
        <v>12516.85</v>
      </c>
      <c r="H207" t="s">
        <v>15</v>
      </c>
      <c r="I207" t="s">
        <v>16</v>
      </c>
      <c r="J207" t="s">
        <v>30</v>
      </c>
      <c r="K207" t="s">
        <v>63</v>
      </c>
    </row>
    <row r="208" spans="1:11" x14ac:dyDescent="0.25">
      <c r="A208" t="s">
        <v>659</v>
      </c>
      <c r="B208" t="s">
        <v>36</v>
      </c>
      <c r="C208" t="s">
        <v>660</v>
      </c>
      <c r="D208" t="s">
        <v>661</v>
      </c>
      <c r="E208" s="2">
        <v>46257</v>
      </c>
      <c r="F208" s="2">
        <v>46287</v>
      </c>
      <c r="G208">
        <v>24171.16</v>
      </c>
      <c r="H208" t="s">
        <v>15</v>
      </c>
      <c r="I208" t="s">
        <v>29</v>
      </c>
      <c r="J208" t="s">
        <v>17</v>
      </c>
      <c r="K208" t="s">
        <v>24</v>
      </c>
    </row>
    <row r="209" spans="1:11" x14ac:dyDescent="0.25">
      <c r="A209" t="s">
        <v>662</v>
      </c>
      <c r="B209" t="s">
        <v>75</v>
      </c>
      <c r="C209" t="s">
        <v>663</v>
      </c>
      <c r="D209" t="s">
        <v>664</v>
      </c>
      <c r="E209" s="2">
        <v>46169</v>
      </c>
      <c r="F209" s="2">
        <v>46184</v>
      </c>
      <c r="G209">
        <v>13472.87</v>
      </c>
      <c r="H209" t="s">
        <v>15</v>
      </c>
      <c r="I209" t="s">
        <v>23</v>
      </c>
      <c r="J209" t="s">
        <v>17</v>
      </c>
      <c r="K209" t="s">
        <v>63</v>
      </c>
    </row>
    <row r="210" spans="1:11" x14ac:dyDescent="0.25">
      <c r="A210" t="s">
        <v>665</v>
      </c>
      <c r="B210" t="s">
        <v>57</v>
      </c>
      <c r="C210" t="s">
        <v>666</v>
      </c>
      <c r="D210" t="s">
        <v>667</v>
      </c>
      <c r="E210" s="2">
        <v>46046</v>
      </c>
      <c r="F210" s="2">
        <v>46091</v>
      </c>
      <c r="G210">
        <v>10086.469999999999</v>
      </c>
      <c r="H210" t="s">
        <v>15</v>
      </c>
      <c r="I210" t="s">
        <v>16</v>
      </c>
      <c r="J210" t="s">
        <v>30</v>
      </c>
      <c r="K210" t="s">
        <v>24</v>
      </c>
    </row>
    <row r="211" spans="1:11" x14ac:dyDescent="0.25">
      <c r="A211" t="s">
        <v>668</v>
      </c>
      <c r="B211" t="s">
        <v>112</v>
      </c>
      <c r="C211" t="s">
        <v>669</v>
      </c>
      <c r="D211" t="s">
        <v>670</v>
      </c>
      <c r="E211" s="2">
        <v>46304</v>
      </c>
      <c r="F211" s="2">
        <v>46319</v>
      </c>
      <c r="G211">
        <v>7079.45</v>
      </c>
      <c r="H211" t="s">
        <v>15</v>
      </c>
      <c r="I211" t="s">
        <v>29</v>
      </c>
      <c r="J211" t="s">
        <v>17</v>
      </c>
      <c r="K211" t="s">
        <v>63</v>
      </c>
    </row>
    <row r="212" spans="1:11" x14ac:dyDescent="0.25">
      <c r="A212" t="s">
        <v>671</v>
      </c>
      <c r="B212" t="s">
        <v>57</v>
      </c>
      <c r="C212" t="s">
        <v>672</v>
      </c>
      <c r="D212" t="s">
        <v>673</v>
      </c>
      <c r="E212" s="2">
        <v>46196</v>
      </c>
      <c r="F212" s="2">
        <v>46241</v>
      </c>
      <c r="G212">
        <v>13998.86</v>
      </c>
      <c r="H212" t="s">
        <v>15</v>
      </c>
      <c r="I212" t="s">
        <v>16</v>
      </c>
      <c r="J212" t="s">
        <v>17</v>
      </c>
      <c r="K212" t="s">
        <v>18</v>
      </c>
    </row>
    <row r="213" spans="1:11" x14ac:dyDescent="0.25">
      <c r="A213" t="s">
        <v>674</v>
      </c>
      <c r="B213" t="s">
        <v>89</v>
      </c>
      <c r="C213" t="s">
        <v>675</v>
      </c>
      <c r="D213" t="s">
        <v>676</v>
      </c>
      <c r="E213" s="2">
        <v>46042</v>
      </c>
      <c r="F213" s="2">
        <v>46057</v>
      </c>
      <c r="G213">
        <v>3529.46</v>
      </c>
      <c r="H213" t="s">
        <v>15</v>
      </c>
      <c r="I213" t="s">
        <v>16</v>
      </c>
      <c r="J213" t="s">
        <v>17</v>
      </c>
      <c r="K213" t="s">
        <v>24</v>
      </c>
    </row>
    <row r="214" spans="1:11" x14ac:dyDescent="0.25">
      <c r="A214" t="s">
        <v>677</v>
      </c>
      <c r="B214" t="s">
        <v>122</v>
      </c>
      <c r="C214" t="s">
        <v>678</v>
      </c>
      <c r="D214" t="s">
        <v>679</v>
      </c>
      <c r="E214" s="2">
        <v>46190</v>
      </c>
      <c r="F214" s="2">
        <v>46205</v>
      </c>
      <c r="G214">
        <v>23292.45</v>
      </c>
      <c r="H214" t="s">
        <v>15</v>
      </c>
      <c r="I214" t="s">
        <v>39</v>
      </c>
      <c r="J214" t="s">
        <v>17</v>
      </c>
      <c r="K214" t="s">
        <v>63</v>
      </c>
    </row>
    <row r="215" spans="1:11" x14ac:dyDescent="0.25">
      <c r="A215" t="s">
        <v>680</v>
      </c>
      <c r="B215" t="s">
        <v>36</v>
      </c>
      <c r="C215" t="s">
        <v>681</v>
      </c>
      <c r="D215" t="s">
        <v>682</v>
      </c>
      <c r="E215" s="2">
        <v>46283</v>
      </c>
      <c r="F215" s="2">
        <v>46313</v>
      </c>
      <c r="G215">
        <v>13364.61</v>
      </c>
      <c r="H215" t="s">
        <v>15</v>
      </c>
      <c r="I215" t="s">
        <v>39</v>
      </c>
      <c r="J215" t="s">
        <v>17</v>
      </c>
      <c r="K215" t="s">
        <v>24</v>
      </c>
    </row>
    <row r="216" spans="1:11" x14ac:dyDescent="0.25">
      <c r="A216" t="s">
        <v>683</v>
      </c>
      <c r="B216" t="s">
        <v>45</v>
      </c>
      <c r="C216" t="s">
        <v>684</v>
      </c>
      <c r="D216" t="s">
        <v>685</v>
      </c>
      <c r="E216" s="2">
        <v>46236</v>
      </c>
      <c r="F216" s="2">
        <v>46266</v>
      </c>
      <c r="G216">
        <v>14642.51</v>
      </c>
      <c r="H216" t="s">
        <v>15</v>
      </c>
      <c r="I216" t="s">
        <v>16</v>
      </c>
      <c r="J216" t="s">
        <v>17</v>
      </c>
      <c r="K216" t="s">
        <v>24</v>
      </c>
    </row>
    <row r="217" spans="1:11" x14ac:dyDescent="0.25">
      <c r="A217" t="s">
        <v>686</v>
      </c>
      <c r="B217" t="s">
        <v>170</v>
      </c>
      <c r="C217" t="s">
        <v>687</v>
      </c>
      <c r="D217" t="s">
        <v>688</v>
      </c>
      <c r="E217" s="2">
        <v>46139</v>
      </c>
      <c r="F217" s="2">
        <v>46169</v>
      </c>
      <c r="G217">
        <v>18068.43</v>
      </c>
      <c r="H217" t="s">
        <v>15</v>
      </c>
      <c r="I217" t="s">
        <v>16</v>
      </c>
      <c r="J217" t="s">
        <v>17</v>
      </c>
      <c r="K217" t="s">
        <v>63</v>
      </c>
    </row>
    <row r="218" spans="1:11" x14ac:dyDescent="0.25">
      <c r="A218" t="s">
        <v>689</v>
      </c>
      <c r="B218" t="s">
        <v>122</v>
      </c>
      <c r="C218" t="s">
        <v>690</v>
      </c>
      <c r="D218" t="s">
        <v>691</v>
      </c>
      <c r="E218" s="2">
        <v>46147</v>
      </c>
      <c r="F218" s="2">
        <v>46162</v>
      </c>
      <c r="G218">
        <v>905.47</v>
      </c>
      <c r="H218" t="s">
        <v>15</v>
      </c>
      <c r="I218" t="s">
        <v>29</v>
      </c>
      <c r="J218" t="s">
        <v>17</v>
      </c>
      <c r="K218" t="s">
        <v>18</v>
      </c>
    </row>
    <row r="219" spans="1:11" x14ac:dyDescent="0.25">
      <c r="A219" t="s">
        <v>692</v>
      </c>
      <c r="B219" t="s">
        <v>85</v>
      </c>
      <c r="C219" t="s">
        <v>693</v>
      </c>
      <c r="D219" t="s">
        <v>694</v>
      </c>
      <c r="E219" s="2">
        <v>46127</v>
      </c>
      <c r="F219" s="2">
        <v>46172</v>
      </c>
      <c r="G219">
        <v>10330.19</v>
      </c>
      <c r="H219" t="s">
        <v>15</v>
      </c>
      <c r="I219" t="s">
        <v>39</v>
      </c>
      <c r="J219" t="s">
        <v>30</v>
      </c>
      <c r="K219" t="s">
        <v>18</v>
      </c>
    </row>
    <row r="220" spans="1:11" x14ac:dyDescent="0.25">
      <c r="A220" t="s">
        <v>695</v>
      </c>
      <c r="B220" t="s">
        <v>36</v>
      </c>
      <c r="C220" t="s">
        <v>696</v>
      </c>
      <c r="D220" t="s">
        <v>697</v>
      </c>
      <c r="E220" s="2">
        <v>46129</v>
      </c>
      <c r="F220" s="2">
        <v>46159</v>
      </c>
      <c r="G220">
        <v>14074.86</v>
      </c>
      <c r="H220" t="s">
        <v>15</v>
      </c>
      <c r="I220" t="s">
        <v>16</v>
      </c>
      <c r="J220" t="s">
        <v>17</v>
      </c>
      <c r="K220" t="s">
        <v>63</v>
      </c>
    </row>
    <row r="221" spans="1:11" x14ac:dyDescent="0.25">
      <c r="A221" t="s">
        <v>698</v>
      </c>
      <c r="B221" t="s">
        <v>32</v>
      </c>
      <c r="C221" t="s">
        <v>699</v>
      </c>
      <c r="D221" t="s">
        <v>700</v>
      </c>
      <c r="E221" s="2">
        <v>46198</v>
      </c>
      <c r="F221" s="2">
        <v>46228</v>
      </c>
      <c r="G221">
        <v>13711.28</v>
      </c>
      <c r="H221" t="s">
        <v>15</v>
      </c>
      <c r="I221" t="s">
        <v>39</v>
      </c>
      <c r="J221" t="s">
        <v>17</v>
      </c>
      <c r="K221" t="s">
        <v>63</v>
      </c>
    </row>
    <row r="222" spans="1:11" x14ac:dyDescent="0.25">
      <c r="A222" t="s">
        <v>701</v>
      </c>
      <c r="B222" t="s">
        <v>53</v>
      </c>
      <c r="C222" t="s">
        <v>702</v>
      </c>
      <c r="D222" t="s">
        <v>703</v>
      </c>
      <c r="E222" s="2">
        <v>46149</v>
      </c>
      <c r="F222" s="2">
        <v>46179</v>
      </c>
      <c r="G222">
        <v>7061.68</v>
      </c>
      <c r="H222" t="s">
        <v>15</v>
      </c>
      <c r="I222" t="s">
        <v>16</v>
      </c>
      <c r="J222" t="s">
        <v>17</v>
      </c>
      <c r="K222" t="s">
        <v>24</v>
      </c>
    </row>
    <row r="223" spans="1:11" x14ac:dyDescent="0.25">
      <c r="A223" t="s">
        <v>704</v>
      </c>
      <c r="B223" t="s">
        <v>75</v>
      </c>
      <c r="C223" t="s">
        <v>705</v>
      </c>
      <c r="D223" t="s">
        <v>706</v>
      </c>
      <c r="E223" s="2">
        <v>46185</v>
      </c>
      <c r="F223" s="2">
        <v>46200</v>
      </c>
      <c r="G223">
        <v>12057.51</v>
      </c>
      <c r="H223" t="s">
        <v>15</v>
      </c>
      <c r="I223" t="s">
        <v>29</v>
      </c>
      <c r="J223" t="s">
        <v>17</v>
      </c>
      <c r="K223" t="s">
        <v>63</v>
      </c>
    </row>
    <row r="224" spans="1:11" x14ac:dyDescent="0.25">
      <c r="A224" t="s">
        <v>707</v>
      </c>
      <c r="B224" t="s">
        <v>41</v>
      </c>
      <c r="C224" t="s">
        <v>708</v>
      </c>
      <c r="D224" t="s">
        <v>709</v>
      </c>
      <c r="E224" s="2">
        <v>46199</v>
      </c>
      <c r="F224" s="2">
        <v>46214</v>
      </c>
      <c r="G224">
        <v>23870.67</v>
      </c>
      <c r="H224" t="s">
        <v>15</v>
      </c>
      <c r="I224" t="s">
        <v>16</v>
      </c>
      <c r="J224" t="s">
        <v>17</v>
      </c>
      <c r="K224" t="s">
        <v>63</v>
      </c>
    </row>
    <row r="225" spans="1:11" x14ac:dyDescent="0.25">
      <c r="A225" t="s">
        <v>710</v>
      </c>
      <c r="B225" t="s">
        <v>112</v>
      </c>
      <c r="C225" t="s">
        <v>711</v>
      </c>
      <c r="D225" t="s">
        <v>712</v>
      </c>
      <c r="E225" s="2">
        <v>46154</v>
      </c>
      <c r="F225" s="2">
        <v>46169</v>
      </c>
      <c r="G225">
        <v>18713.78</v>
      </c>
      <c r="H225" t="s">
        <v>15</v>
      </c>
      <c r="I225" t="s">
        <v>23</v>
      </c>
      <c r="J225" t="s">
        <v>17</v>
      </c>
      <c r="K225" t="s">
        <v>18</v>
      </c>
    </row>
    <row r="226" spans="1:11" x14ac:dyDescent="0.25">
      <c r="A226" t="s">
        <v>713</v>
      </c>
      <c r="B226" t="s">
        <v>45</v>
      </c>
      <c r="C226" t="s">
        <v>714</v>
      </c>
      <c r="D226" t="s">
        <v>715</v>
      </c>
      <c r="E226" s="2">
        <v>46145</v>
      </c>
      <c r="F226" s="2">
        <v>46175</v>
      </c>
      <c r="G226">
        <v>6152.36</v>
      </c>
      <c r="H226" t="s">
        <v>15</v>
      </c>
      <c r="I226" t="s">
        <v>16</v>
      </c>
      <c r="J226" t="s">
        <v>30</v>
      </c>
      <c r="K226" t="s">
        <v>63</v>
      </c>
    </row>
    <row r="227" spans="1:11" x14ac:dyDescent="0.25">
      <c r="A227" t="s">
        <v>716</v>
      </c>
      <c r="B227" t="s">
        <v>26</v>
      </c>
      <c r="C227" t="s">
        <v>717</v>
      </c>
      <c r="D227" t="s">
        <v>718</v>
      </c>
      <c r="E227" s="2">
        <v>46264</v>
      </c>
      <c r="F227" s="2">
        <v>46294</v>
      </c>
      <c r="G227">
        <v>2621.56</v>
      </c>
      <c r="H227" t="s">
        <v>15</v>
      </c>
      <c r="I227" t="s">
        <v>23</v>
      </c>
      <c r="J227" t="s">
        <v>17</v>
      </c>
      <c r="K227" t="s">
        <v>24</v>
      </c>
    </row>
    <row r="228" spans="1:11" x14ac:dyDescent="0.25">
      <c r="A228" t="s">
        <v>719</v>
      </c>
      <c r="B228" t="s">
        <v>75</v>
      </c>
      <c r="C228" t="s">
        <v>720</v>
      </c>
      <c r="D228" t="s">
        <v>721</v>
      </c>
      <c r="E228" s="2">
        <v>46267</v>
      </c>
      <c r="F228" s="2">
        <v>46282</v>
      </c>
      <c r="G228">
        <v>16305.4</v>
      </c>
      <c r="H228" t="s">
        <v>15</v>
      </c>
      <c r="I228" t="s">
        <v>16</v>
      </c>
      <c r="J228" t="s">
        <v>30</v>
      </c>
      <c r="K228" t="s">
        <v>18</v>
      </c>
    </row>
    <row r="229" spans="1:11" x14ac:dyDescent="0.25">
      <c r="A229" t="s">
        <v>722</v>
      </c>
      <c r="B229" t="s">
        <v>170</v>
      </c>
      <c r="C229" t="s">
        <v>723</v>
      </c>
      <c r="D229" t="s">
        <v>724</v>
      </c>
      <c r="E229" s="2">
        <v>46141</v>
      </c>
      <c r="F229" s="2">
        <v>46171</v>
      </c>
      <c r="G229">
        <v>13434.59</v>
      </c>
      <c r="H229" t="s">
        <v>15</v>
      </c>
      <c r="I229" t="s">
        <v>16</v>
      </c>
      <c r="J229" t="s">
        <v>17</v>
      </c>
      <c r="K229" t="s">
        <v>18</v>
      </c>
    </row>
    <row r="230" spans="1:11" x14ac:dyDescent="0.25">
      <c r="A230" t="s">
        <v>725</v>
      </c>
      <c r="B230" t="s">
        <v>41</v>
      </c>
      <c r="C230" t="s">
        <v>726</v>
      </c>
      <c r="D230" t="s">
        <v>727</v>
      </c>
      <c r="E230" s="2">
        <v>46276</v>
      </c>
      <c r="F230" s="2">
        <v>46291</v>
      </c>
      <c r="G230">
        <v>4755.43</v>
      </c>
      <c r="H230" t="s">
        <v>15</v>
      </c>
      <c r="I230" t="s">
        <v>29</v>
      </c>
      <c r="J230" t="s">
        <v>17</v>
      </c>
      <c r="K230" t="s">
        <v>18</v>
      </c>
    </row>
    <row r="231" spans="1:11" x14ac:dyDescent="0.25">
      <c r="A231" t="s">
        <v>728</v>
      </c>
      <c r="B231" t="s">
        <v>26</v>
      </c>
      <c r="C231" t="s">
        <v>729</v>
      </c>
      <c r="D231" t="s">
        <v>730</v>
      </c>
      <c r="E231" s="2">
        <v>46168</v>
      </c>
      <c r="F231" s="2">
        <v>46198</v>
      </c>
      <c r="G231">
        <v>11424.21</v>
      </c>
      <c r="H231" t="s">
        <v>15</v>
      </c>
      <c r="I231" t="s">
        <v>23</v>
      </c>
      <c r="J231" t="s">
        <v>30</v>
      </c>
      <c r="K231" t="s">
        <v>24</v>
      </c>
    </row>
    <row r="232" spans="1:11" x14ac:dyDescent="0.25">
      <c r="A232" t="s">
        <v>731</v>
      </c>
      <c r="B232" t="s">
        <v>112</v>
      </c>
      <c r="C232" t="s">
        <v>732</v>
      </c>
      <c r="D232" t="s">
        <v>733</v>
      </c>
      <c r="E232" s="2">
        <v>46162</v>
      </c>
      <c r="F232" s="2">
        <v>46177</v>
      </c>
      <c r="G232">
        <v>4917.1499999999996</v>
      </c>
      <c r="H232" t="s">
        <v>15</v>
      </c>
      <c r="I232" t="s">
        <v>16</v>
      </c>
      <c r="J232" t="s">
        <v>17</v>
      </c>
      <c r="K232" t="s">
        <v>18</v>
      </c>
    </row>
    <row r="233" spans="1:11" x14ac:dyDescent="0.25">
      <c r="A233" t="s">
        <v>734</v>
      </c>
      <c r="B233" t="s">
        <v>71</v>
      </c>
      <c r="C233" t="s">
        <v>735</v>
      </c>
      <c r="D233" t="s">
        <v>736</v>
      </c>
      <c r="E233" s="2">
        <v>46195</v>
      </c>
      <c r="F233" s="2">
        <v>46210</v>
      </c>
      <c r="G233">
        <v>19794.3</v>
      </c>
      <c r="H233" t="s">
        <v>15</v>
      </c>
      <c r="I233" t="s">
        <v>16</v>
      </c>
      <c r="J233" t="s">
        <v>17</v>
      </c>
      <c r="K233" t="s">
        <v>63</v>
      </c>
    </row>
    <row r="234" spans="1:11" x14ac:dyDescent="0.25">
      <c r="A234" t="s">
        <v>737</v>
      </c>
      <c r="B234" t="s">
        <v>85</v>
      </c>
      <c r="C234" t="s">
        <v>738</v>
      </c>
      <c r="D234" t="s">
        <v>739</v>
      </c>
      <c r="E234" s="2">
        <v>46286</v>
      </c>
      <c r="F234" s="2">
        <v>46331</v>
      </c>
      <c r="G234">
        <v>8278.82</v>
      </c>
      <c r="H234" t="s">
        <v>15</v>
      </c>
      <c r="I234" t="s">
        <v>23</v>
      </c>
      <c r="J234" t="s">
        <v>17</v>
      </c>
      <c r="K234" t="s">
        <v>18</v>
      </c>
    </row>
    <row r="235" spans="1:11" x14ac:dyDescent="0.25">
      <c r="A235" t="s">
        <v>740</v>
      </c>
      <c r="B235" t="s">
        <v>71</v>
      </c>
      <c r="C235" t="s">
        <v>741</v>
      </c>
      <c r="D235" t="s">
        <v>742</v>
      </c>
      <c r="E235" s="2">
        <v>46156</v>
      </c>
      <c r="F235" s="2">
        <v>46171</v>
      </c>
      <c r="G235">
        <v>9663.33</v>
      </c>
      <c r="H235" t="s">
        <v>15</v>
      </c>
      <c r="I235" t="s">
        <v>16</v>
      </c>
      <c r="J235" t="s">
        <v>17</v>
      </c>
      <c r="K235" t="s">
        <v>18</v>
      </c>
    </row>
    <row r="236" spans="1:11" x14ac:dyDescent="0.25">
      <c r="A236" t="s">
        <v>743</v>
      </c>
      <c r="B236" t="s">
        <v>49</v>
      </c>
      <c r="C236" t="s">
        <v>744</v>
      </c>
      <c r="D236" t="s">
        <v>745</v>
      </c>
      <c r="E236" s="2">
        <v>46207</v>
      </c>
      <c r="F236" s="2">
        <v>46237</v>
      </c>
      <c r="G236">
        <v>29137.87</v>
      </c>
      <c r="H236" t="s">
        <v>15</v>
      </c>
      <c r="I236" t="s">
        <v>16</v>
      </c>
      <c r="J236" t="s">
        <v>17</v>
      </c>
      <c r="K236" t="s">
        <v>24</v>
      </c>
    </row>
    <row r="237" spans="1:11" x14ac:dyDescent="0.25">
      <c r="A237" t="s">
        <v>746</v>
      </c>
      <c r="B237" t="s">
        <v>163</v>
      </c>
      <c r="C237" t="s">
        <v>747</v>
      </c>
      <c r="D237" t="s">
        <v>748</v>
      </c>
      <c r="E237" s="2">
        <v>46083</v>
      </c>
      <c r="F237" s="2">
        <v>46098</v>
      </c>
      <c r="G237">
        <v>16011.14</v>
      </c>
      <c r="H237" t="s">
        <v>15</v>
      </c>
      <c r="I237" t="s">
        <v>16</v>
      </c>
      <c r="J237" t="s">
        <v>17</v>
      </c>
      <c r="K237" t="s">
        <v>63</v>
      </c>
    </row>
    <row r="238" spans="1:11" x14ac:dyDescent="0.25">
      <c r="A238" t="s">
        <v>749</v>
      </c>
      <c r="B238" t="s">
        <v>122</v>
      </c>
      <c r="C238" t="s">
        <v>750</v>
      </c>
      <c r="D238" t="s">
        <v>751</v>
      </c>
      <c r="E238" s="2">
        <v>46255</v>
      </c>
      <c r="F238" s="2">
        <v>46270</v>
      </c>
      <c r="G238">
        <v>18723.64</v>
      </c>
      <c r="H238" t="s">
        <v>15</v>
      </c>
      <c r="I238" t="s">
        <v>16</v>
      </c>
      <c r="J238" t="s">
        <v>17</v>
      </c>
      <c r="K238" t="s">
        <v>24</v>
      </c>
    </row>
    <row r="239" spans="1:11" x14ac:dyDescent="0.25">
      <c r="A239" t="s">
        <v>752</v>
      </c>
      <c r="B239" t="s">
        <v>53</v>
      </c>
      <c r="C239" t="s">
        <v>753</v>
      </c>
      <c r="D239" t="s">
        <v>754</v>
      </c>
      <c r="E239" s="2">
        <v>46149</v>
      </c>
      <c r="F239" s="2">
        <v>46179</v>
      </c>
      <c r="G239">
        <v>17046.91</v>
      </c>
      <c r="H239" t="s">
        <v>15</v>
      </c>
      <c r="I239" t="s">
        <v>16</v>
      </c>
      <c r="J239" t="s">
        <v>17</v>
      </c>
      <c r="K239" t="s">
        <v>18</v>
      </c>
    </row>
    <row r="240" spans="1:11" x14ac:dyDescent="0.25">
      <c r="A240" t="s">
        <v>755</v>
      </c>
      <c r="B240" t="s">
        <v>170</v>
      </c>
      <c r="C240" t="s">
        <v>756</v>
      </c>
      <c r="D240" t="s">
        <v>757</v>
      </c>
      <c r="E240" s="2">
        <v>46080</v>
      </c>
      <c r="F240" s="2">
        <v>46110</v>
      </c>
      <c r="G240">
        <v>1656.54</v>
      </c>
      <c r="H240" t="s">
        <v>15</v>
      </c>
      <c r="I240" t="s">
        <v>16</v>
      </c>
      <c r="J240" t="s">
        <v>17</v>
      </c>
      <c r="K240" t="s">
        <v>63</v>
      </c>
    </row>
    <row r="241" spans="1:11" x14ac:dyDescent="0.25">
      <c r="A241" t="s">
        <v>758</v>
      </c>
      <c r="B241" t="s">
        <v>36</v>
      </c>
      <c r="C241" t="s">
        <v>759</v>
      </c>
      <c r="D241" t="s">
        <v>760</v>
      </c>
      <c r="E241" s="2">
        <v>46249</v>
      </c>
      <c r="F241" s="2">
        <v>46279</v>
      </c>
      <c r="G241">
        <v>3012.05</v>
      </c>
      <c r="H241" t="s">
        <v>15</v>
      </c>
      <c r="I241" t="s">
        <v>29</v>
      </c>
      <c r="J241" t="s">
        <v>17</v>
      </c>
      <c r="K241" t="s">
        <v>18</v>
      </c>
    </row>
    <row r="242" spans="1:11" x14ac:dyDescent="0.25">
      <c r="A242" t="s">
        <v>761</v>
      </c>
      <c r="B242" t="s">
        <v>112</v>
      </c>
      <c r="C242" t="s">
        <v>762</v>
      </c>
      <c r="D242" t="s">
        <v>763</v>
      </c>
      <c r="E242" s="2">
        <v>46090</v>
      </c>
      <c r="F242" s="2">
        <v>46105</v>
      </c>
      <c r="G242">
        <v>12889.61</v>
      </c>
      <c r="H242" t="s">
        <v>15</v>
      </c>
      <c r="I242" t="s">
        <v>16</v>
      </c>
      <c r="J242" t="s">
        <v>17</v>
      </c>
      <c r="K242" t="s">
        <v>24</v>
      </c>
    </row>
    <row r="243" spans="1:11" x14ac:dyDescent="0.25">
      <c r="A243" t="s">
        <v>764</v>
      </c>
      <c r="B243" t="s">
        <v>71</v>
      </c>
      <c r="C243" t="s">
        <v>765</v>
      </c>
      <c r="D243" t="s">
        <v>766</v>
      </c>
      <c r="E243" s="2">
        <v>46225</v>
      </c>
      <c r="F243" s="2">
        <v>46240</v>
      </c>
      <c r="G243">
        <v>32626.55</v>
      </c>
      <c r="H243" t="s">
        <v>15</v>
      </c>
      <c r="I243" t="s">
        <v>16</v>
      </c>
      <c r="J243" t="s">
        <v>17</v>
      </c>
      <c r="K243" t="s">
        <v>24</v>
      </c>
    </row>
    <row r="244" spans="1:11" x14ac:dyDescent="0.25">
      <c r="A244" t="s">
        <v>767</v>
      </c>
      <c r="B244" t="s">
        <v>89</v>
      </c>
      <c r="C244" t="s">
        <v>768</v>
      </c>
      <c r="D244" t="s">
        <v>769</v>
      </c>
      <c r="E244" s="2">
        <v>46058</v>
      </c>
      <c r="F244" s="2">
        <v>46073</v>
      </c>
      <c r="G244">
        <v>24655.09</v>
      </c>
      <c r="H244" t="s">
        <v>15</v>
      </c>
      <c r="I244" t="s">
        <v>29</v>
      </c>
      <c r="J244" t="s">
        <v>30</v>
      </c>
      <c r="K244" t="s">
        <v>24</v>
      </c>
    </row>
    <row r="245" spans="1:11" x14ac:dyDescent="0.25">
      <c r="A245" t="s">
        <v>770</v>
      </c>
      <c r="B245" t="s">
        <v>85</v>
      </c>
      <c r="C245" t="s">
        <v>771</v>
      </c>
      <c r="D245" t="s">
        <v>772</v>
      </c>
      <c r="E245" s="2">
        <v>46214</v>
      </c>
      <c r="F245" s="2">
        <v>46259</v>
      </c>
      <c r="G245">
        <v>24822.27</v>
      </c>
      <c r="H245" t="s">
        <v>15</v>
      </c>
      <c r="I245" t="s">
        <v>29</v>
      </c>
      <c r="J245" t="s">
        <v>17</v>
      </c>
      <c r="K245" t="s">
        <v>24</v>
      </c>
    </row>
    <row r="246" spans="1:11" x14ac:dyDescent="0.25">
      <c r="A246" t="s">
        <v>773</v>
      </c>
      <c r="B246" t="s">
        <v>122</v>
      </c>
      <c r="C246" t="s">
        <v>774</v>
      </c>
      <c r="D246" t="s">
        <v>775</v>
      </c>
      <c r="E246" s="2">
        <v>46201</v>
      </c>
      <c r="F246" s="2">
        <v>46216</v>
      </c>
      <c r="G246">
        <v>3071.59</v>
      </c>
      <c r="H246" t="s">
        <v>15</v>
      </c>
      <c r="I246" t="s">
        <v>29</v>
      </c>
      <c r="J246" t="s">
        <v>17</v>
      </c>
      <c r="K246" t="s">
        <v>18</v>
      </c>
    </row>
    <row r="247" spans="1:11" x14ac:dyDescent="0.25">
      <c r="A247" t="s">
        <v>776</v>
      </c>
      <c r="B247" t="s">
        <v>71</v>
      </c>
      <c r="C247" t="s">
        <v>777</v>
      </c>
      <c r="D247" t="s">
        <v>778</v>
      </c>
      <c r="E247" s="2">
        <v>46175</v>
      </c>
      <c r="F247" s="2">
        <v>46190</v>
      </c>
      <c r="G247">
        <v>11639.54</v>
      </c>
      <c r="H247" t="s">
        <v>15</v>
      </c>
      <c r="I247" t="s">
        <v>16</v>
      </c>
      <c r="J247" t="s">
        <v>17</v>
      </c>
      <c r="K247" t="s">
        <v>63</v>
      </c>
    </row>
    <row r="248" spans="1:11" x14ac:dyDescent="0.25">
      <c r="A248" t="s">
        <v>779</v>
      </c>
      <c r="B248" t="s">
        <v>57</v>
      </c>
      <c r="C248" t="s">
        <v>780</v>
      </c>
      <c r="D248" t="s">
        <v>781</v>
      </c>
      <c r="E248" s="2">
        <v>46102</v>
      </c>
      <c r="F248" s="2">
        <v>46147</v>
      </c>
      <c r="G248">
        <v>6978.17</v>
      </c>
      <c r="H248" t="s">
        <v>15</v>
      </c>
      <c r="I248" t="s">
        <v>39</v>
      </c>
      <c r="J248" t="s">
        <v>17</v>
      </c>
      <c r="K248" t="s">
        <v>18</v>
      </c>
    </row>
    <row r="249" spans="1:11" x14ac:dyDescent="0.25">
      <c r="A249" t="s">
        <v>782</v>
      </c>
      <c r="B249" t="s">
        <v>20</v>
      </c>
      <c r="C249" t="s">
        <v>783</v>
      </c>
      <c r="D249" t="s">
        <v>784</v>
      </c>
      <c r="E249" s="2">
        <v>46128</v>
      </c>
      <c r="F249" s="2">
        <v>46143</v>
      </c>
      <c r="G249">
        <v>1794.2</v>
      </c>
      <c r="H249" t="s">
        <v>15</v>
      </c>
      <c r="I249" t="s">
        <v>16</v>
      </c>
      <c r="J249" t="s">
        <v>17</v>
      </c>
      <c r="K249" t="s">
        <v>18</v>
      </c>
    </row>
    <row r="250" spans="1:11" x14ac:dyDescent="0.25">
      <c r="A250" t="s">
        <v>785</v>
      </c>
      <c r="B250" t="s">
        <v>89</v>
      </c>
      <c r="C250" t="s">
        <v>786</v>
      </c>
      <c r="D250" t="s">
        <v>787</v>
      </c>
      <c r="E250" s="2">
        <v>46228</v>
      </c>
      <c r="F250" s="2">
        <v>46243</v>
      </c>
      <c r="G250">
        <v>11041.39</v>
      </c>
      <c r="H250" t="s">
        <v>15</v>
      </c>
      <c r="I250" t="s">
        <v>16</v>
      </c>
      <c r="J250" t="s">
        <v>17</v>
      </c>
      <c r="K250" t="s">
        <v>24</v>
      </c>
    </row>
    <row r="251" spans="1:11" x14ac:dyDescent="0.25">
      <c r="A251" t="s">
        <v>788</v>
      </c>
      <c r="B251" t="s">
        <v>170</v>
      </c>
      <c r="C251" t="s">
        <v>789</v>
      </c>
      <c r="D251" t="s">
        <v>790</v>
      </c>
      <c r="E251" s="2">
        <v>46186</v>
      </c>
      <c r="F251" s="2">
        <v>46216</v>
      </c>
      <c r="G251">
        <v>14487.57</v>
      </c>
      <c r="H251" t="s">
        <v>15</v>
      </c>
      <c r="I251" t="s">
        <v>16</v>
      </c>
      <c r="J251" t="s">
        <v>17</v>
      </c>
      <c r="K251" t="s">
        <v>24</v>
      </c>
    </row>
    <row r="252" spans="1:11" x14ac:dyDescent="0.25">
      <c r="A252" t="s">
        <v>791</v>
      </c>
      <c r="B252" t="s">
        <v>36</v>
      </c>
      <c r="C252" t="s">
        <v>792</v>
      </c>
      <c r="D252" t="s">
        <v>793</v>
      </c>
      <c r="E252" s="2">
        <v>46136</v>
      </c>
      <c r="F252" s="2">
        <v>46166</v>
      </c>
      <c r="G252">
        <v>10409.379999999999</v>
      </c>
      <c r="H252" t="s">
        <v>15</v>
      </c>
      <c r="I252" t="s">
        <v>23</v>
      </c>
      <c r="J252" t="s">
        <v>17</v>
      </c>
      <c r="K252" t="s">
        <v>24</v>
      </c>
    </row>
    <row r="253" spans="1:11" x14ac:dyDescent="0.25">
      <c r="A253" t="s">
        <v>794</v>
      </c>
      <c r="B253" t="s">
        <v>85</v>
      </c>
      <c r="C253" t="s">
        <v>795</v>
      </c>
      <c r="D253" t="s">
        <v>796</v>
      </c>
      <c r="E253" s="2">
        <v>46307</v>
      </c>
      <c r="F253" s="2">
        <v>46352</v>
      </c>
      <c r="G253">
        <v>12451.05</v>
      </c>
      <c r="H253" t="s">
        <v>15</v>
      </c>
      <c r="I253" t="s">
        <v>16</v>
      </c>
      <c r="J253" t="s">
        <v>17</v>
      </c>
      <c r="K253" t="s">
        <v>24</v>
      </c>
    </row>
    <row r="254" spans="1:11" x14ac:dyDescent="0.25">
      <c r="A254" t="s">
        <v>797</v>
      </c>
      <c r="B254" t="s">
        <v>85</v>
      </c>
      <c r="C254" t="s">
        <v>798</v>
      </c>
      <c r="D254" t="s">
        <v>799</v>
      </c>
      <c r="E254" s="2">
        <v>46232</v>
      </c>
      <c r="F254" s="2">
        <v>46277</v>
      </c>
      <c r="G254">
        <v>3832.53</v>
      </c>
      <c r="H254" t="s">
        <v>15</v>
      </c>
      <c r="I254" t="s">
        <v>16</v>
      </c>
      <c r="J254" t="s">
        <v>17</v>
      </c>
      <c r="K254" t="s">
        <v>24</v>
      </c>
    </row>
    <row r="255" spans="1:11" x14ac:dyDescent="0.25">
      <c r="A255" t="s">
        <v>800</v>
      </c>
      <c r="B255" t="s">
        <v>122</v>
      </c>
      <c r="C255" t="s">
        <v>801</v>
      </c>
      <c r="D255" t="s">
        <v>802</v>
      </c>
      <c r="E255" s="2">
        <v>46260</v>
      </c>
      <c r="F255" s="2">
        <v>46275</v>
      </c>
      <c r="G255">
        <v>22878.76</v>
      </c>
      <c r="H255" t="s">
        <v>15</v>
      </c>
      <c r="I255" t="s">
        <v>16</v>
      </c>
      <c r="J255" t="s">
        <v>17</v>
      </c>
      <c r="K255" t="s">
        <v>63</v>
      </c>
    </row>
    <row r="256" spans="1:11" x14ac:dyDescent="0.25">
      <c r="A256" t="s">
        <v>803</v>
      </c>
      <c r="B256" t="s">
        <v>53</v>
      </c>
      <c r="C256" t="s">
        <v>804</v>
      </c>
      <c r="D256" t="s">
        <v>805</v>
      </c>
      <c r="E256" s="2">
        <v>46192</v>
      </c>
      <c r="F256" s="2">
        <v>46222</v>
      </c>
      <c r="G256">
        <v>16210.04</v>
      </c>
      <c r="H256" t="s">
        <v>15</v>
      </c>
      <c r="I256" t="s">
        <v>16</v>
      </c>
      <c r="J256" t="s">
        <v>17</v>
      </c>
      <c r="K256" t="s">
        <v>18</v>
      </c>
    </row>
    <row r="257" spans="1:11" x14ac:dyDescent="0.25">
      <c r="A257" t="s">
        <v>806</v>
      </c>
      <c r="B257" t="s">
        <v>49</v>
      </c>
      <c r="C257" t="s">
        <v>807</v>
      </c>
      <c r="D257" t="s">
        <v>808</v>
      </c>
      <c r="E257" s="2">
        <v>46216</v>
      </c>
      <c r="F257" s="2">
        <v>46246</v>
      </c>
      <c r="G257">
        <v>16880.96</v>
      </c>
      <c r="H257" t="s">
        <v>15</v>
      </c>
      <c r="I257" t="s">
        <v>39</v>
      </c>
      <c r="J257" t="s">
        <v>17</v>
      </c>
      <c r="K257" t="s">
        <v>24</v>
      </c>
    </row>
    <row r="258" spans="1:11" x14ac:dyDescent="0.25">
      <c r="A258" t="s">
        <v>809</v>
      </c>
      <c r="B258" t="s">
        <v>32</v>
      </c>
      <c r="C258" t="s">
        <v>810</v>
      </c>
      <c r="D258" t="s">
        <v>811</v>
      </c>
      <c r="E258" s="2">
        <v>46134</v>
      </c>
      <c r="F258" s="2">
        <v>46164</v>
      </c>
      <c r="G258">
        <v>12047.33</v>
      </c>
      <c r="H258" t="s">
        <v>15</v>
      </c>
      <c r="I258" t="s">
        <v>23</v>
      </c>
      <c r="J258" t="s">
        <v>30</v>
      </c>
      <c r="K258" t="s">
        <v>18</v>
      </c>
    </row>
    <row r="259" spans="1:11" x14ac:dyDescent="0.25">
      <c r="A259" t="s">
        <v>812</v>
      </c>
      <c r="B259" t="s">
        <v>45</v>
      </c>
      <c r="C259" t="s">
        <v>813</v>
      </c>
      <c r="D259" t="s">
        <v>814</v>
      </c>
      <c r="E259" s="2">
        <v>46268</v>
      </c>
      <c r="F259" s="2">
        <v>46298</v>
      </c>
      <c r="G259">
        <v>22871.3</v>
      </c>
      <c r="H259" t="s">
        <v>15</v>
      </c>
      <c r="I259" t="s">
        <v>23</v>
      </c>
      <c r="J259" t="s">
        <v>17</v>
      </c>
      <c r="K259" t="s">
        <v>63</v>
      </c>
    </row>
    <row r="260" spans="1:11" x14ac:dyDescent="0.25">
      <c r="A260" t="s">
        <v>815</v>
      </c>
      <c r="B260" t="s">
        <v>41</v>
      </c>
      <c r="C260" t="s">
        <v>816</v>
      </c>
      <c r="D260" t="s">
        <v>817</v>
      </c>
      <c r="E260" s="2">
        <v>46261</v>
      </c>
      <c r="F260" s="2">
        <v>46276</v>
      </c>
      <c r="G260">
        <v>13397.22</v>
      </c>
      <c r="H260" t="s">
        <v>15</v>
      </c>
      <c r="I260" t="s">
        <v>16</v>
      </c>
      <c r="J260" t="s">
        <v>17</v>
      </c>
      <c r="K260" t="s">
        <v>18</v>
      </c>
    </row>
    <row r="261" spans="1:11" x14ac:dyDescent="0.25">
      <c r="A261" t="s">
        <v>818</v>
      </c>
      <c r="B261" t="s">
        <v>75</v>
      </c>
      <c r="C261" t="s">
        <v>819</v>
      </c>
      <c r="D261" t="s">
        <v>820</v>
      </c>
      <c r="E261" s="2">
        <v>46186</v>
      </c>
      <c r="F261" s="2">
        <v>46201</v>
      </c>
      <c r="G261">
        <v>22868.54</v>
      </c>
      <c r="H261" t="s">
        <v>15</v>
      </c>
      <c r="I261" t="s">
        <v>16</v>
      </c>
      <c r="J261" t="s">
        <v>17</v>
      </c>
      <c r="K261" t="s">
        <v>18</v>
      </c>
    </row>
    <row r="262" spans="1:11" x14ac:dyDescent="0.25">
      <c r="A262" t="s">
        <v>821</v>
      </c>
      <c r="B262" t="s">
        <v>71</v>
      </c>
      <c r="C262" t="s">
        <v>822</v>
      </c>
      <c r="D262" t="s">
        <v>823</v>
      </c>
      <c r="E262" s="2">
        <v>46156</v>
      </c>
      <c r="F262" s="2">
        <v>46171</v>
      </c>
      <c r="G262">
        <v>13886.39</v>
      </c>
      <c r="H262" t="s">
        <v>15</v>
      </c>
      <c r="I262" t="s">
        <v>29</v>
      </c>
      <c r="J262" t="s">
        <v>17</v>
      </c>
      <c r="K262" t="s">
        <v>63</v>
      </c>
    </row>
    <row r="263" spans="1:11" x14ac:dyDescent="0.25">
      <c r="A263" t="s">
        <v>824</v>
      </c>
      <c r="B263" t="s">
        <v>170</v>
      </c>
      <c r="C263" t="s">
        <v>825</v>
      </c>
      <c r="D263" t="s">
        <v>826</v>
      </c>
      <c r="E263" s="2">
        <v>46148</v>
      </c>
      <c r="F263" s="2">
        <v>46178</v>
      </c>
      <c r="G263">
        <v>12542.62</v>
      </c>
      <c r="H263" t="s">
        <v>15</v>
      </c>
      <c r="I263" t="s">
        <v>16</v>
      </c>
      <c r="J263" t="s">
        <v>17</v>
      </c>
      <c r="K263" t="s">
        <v>24</v>
      </c>
    </row>
    <row r="264" spans="1:11" x14ac:dyDescent="0.25">
      <c r="A264" t="s">
        <v>827</v>
      </c>
      <c r="B264" t="s">
        <v>75</v>
      </c>
      <c r="C264" t="s">
        <v>828</v>
      </c>
      <c r="D264" t="s">
        <v>829</v>
      </c>
      <c r="E264" s="2">
        <v>46258</v>
      </c>
      <c r="F264" s="2">
        <v>46273</v>
      </c>
      <c r="G264">
        <v>4305.6499999999996</v>
      </c>
      <c r="H264" t="s">
        <v>15</v>
      </c>
      <c r="I264" t="s">
        <v>39</v>
      </c>
      <c r="J264" t="s">
        <v>17</v>
      </c>
      <c r="K264" t="s">
        <v>24</v>
      </c>
    </row>
    <row r="265" spans="1:11" x14ac:dyDescent="0.25">
      <c r="A265" t="s">
        <v>830</v>
      </c>
      <c r="B265" t="s">
        <v>89</v>
      </c>
      <c r="C265" t="s">
        <v>831</v>
      </c>
      <c r="D265" t="s">
        <v>832</v>
      </c>
      <c r="E265" s="2">
        <v>46291</v>
      </c>
      <c r="F265" s="2">
        <v>46306</v>
      </c>
      <c r="G265">
        <v>961.54</v>
      </c>
      <c r="H265" t="s">
        <v>15</v>
      </c>
      <c r="I265" t="s">
        <v>39</v>
      </c>
      <c r="J265" t="s">
        <v>17</v>
      </c>
      <c r="K265" t="s">
        <v>24</v>
      </c>
    </row>
    <row r="266" spans="1:11" x14ac:dyDescent="0.25">
      <c r="A266" t="s">
        <v>833</v>
      </c>
      <c r="B266" t="s">
        <v>20</v>
      </c>
      <c r="C266" t="s">
        <v>834</v>
      </c>
      <c r="D266" t="s">
        <v>835</v>
      </c>
      <c r="E266" s="2">
        <v>46057</v>
      </c>
      <c r="F266" s="2">
        <v>46072</v>
      </c>
      <c r="G266">
        <v>42700.65</v>
      </c>
      <c r="H266" t="s">
        <v>15</v>
      </c>
      <c r="I266" t="s">
        <v>16</v>
      </c>
      <c r="J266" t="s">
        <v>17</v>
      </c>
      <c r="K266" t="s">
        <v>24</v>
      </c>
    </row>
    <row r="267" spans="1:11" x14ac:dyDescent="0.25">
      <c r="A267" t="s">
        <v>836</v>
      </c>
      <c r="B267" t="s">
        <v>75</v>
      </c>
      <c r="C267" t="s">
        <v>837</v>
      </c>
      <c r="D267" t="s">
        <v>838</v>
      </c>
      <c r="E267" s="2">
        <v>46272</v>
      </c>
      <c r="F267" s="2">
        <v>46287</v>
      </c>
      <c r="G267">
        <v>511.41</v>
      </c>
      <c r="H267" t="s">
        <v>15</v>
      </c>
      <c r="I267" t="s">
        <v>29</v>
      </c>
      <c r="J267" t="s">
        <v>17</v>
      </c>
      <c r="K267" t="s">
        <v>24</v>
      </c>
    </row>
    <row r="268" spans="1:11" x14ac:dyDescent="0.25">
      <c r="A268" t="s">
        <v>839</v>
      </c>
      <c r="B268" t="s">
        <v>163</v>
      </c>
      <c r="C268" t="s">
        <v>840</v>
      </c>
      <c r="D268" t="s">
        <v>841</v>
      </c>
      <c r="E268" s="2">
        <v>46031</v>
      </c>
      <c r="F268" s="2">
        <v>46046</v>
      </c>
      <c r="G268">
        <v>12615.13</v>
      </c>
      <c r="H268" t="s">
        <v>15</v>
      </c>
      <c r="I268" t="s">
        <v>23</v>
      </c>
      <c r="J268" t="s">
        <v>17</v>
      </c>
      <c r="K268" t="s">
        <v>18</v>
      </c>
    </row>
    <row r="269" spans="1:11" x14ac:dyDescent="0.25">
      <c r="A269" t="s">
        <v>842</v>
      </c>
      <c r="B269" t="s">
        <v>36</v>
      </c>
      <c r="C269" t="s">
        <v>843</v>
      </c>
      <c r="D269" t="s">
        <v>844</v>
      </c>
      <c r="E269" s="2">
        <v>46099</v>
      </c>
      <c r="F269" s="2">
        <v>46129</v>
      </c>
      <c r="G269">
        <v>6115.3</v>
      </c>
      <c r="H269" t="s">
        <v>15</v>
      </c>
      <c r="I269" t="s">
        <v>16</v>
      </c>
      <c r="J269" t="s">
        <v>17</v>
      </c>
      <c r="K269" t="s">
        <v>18</v>
      </c>
    </row>
    <row r="270" spans="1:11" x14ac:dyDescent="0.25">
      <c r="A270" t="s">
        <v>845</v>
      </c>
      <c r="B270" t="s">
        <v>57</v>
      </c>
      <c r="C270" t="s">
        <v>846</v>
      </c>
      <c r="D270" t="s">
        <v>847</v>
      </c>
      <c r="E270" s="2">
        <v>46230</v>
      </c>
      <c r="F270" s="2">
        <v>46275</v>
      </c>
      <c r="G270">
        <v>11539.86</v>
      </c>
      <c r="H270" t="s">
        <v>15</v>
      </c>
      <c r="I270" t="s">
        <v>39</v>
      </c>
      <c r="J270" t="s">
        <v>17</v>
      </c>
      <c r="K270" t="s">
        <v>24</v>
      </c>
    </row>
    <row r="271" spans="1:11" x14ac:dyDescent="0.25">
      <c r="A271" t="s">
        <v>848</v>
      </c>
      <c r="B271" t="s">
        <v>89</v>
      </c>
      <c r="C271" t="s">
        <v>849</v>
      </c>
      <c r="D271" t="s">
        <v>850</v>
      </c>
      <c r="E271" s="2">
        <v>46070</v>
      </c>
      <c r="F271" s="2">
        <v>46085</v>
      </c>
      <c r="G271">
        <v>10203.32</v>
      </c>
      <c r="H271" t="s">
        <v>15</v>
      </c>
      <c r="I271" t="s">
        <v>16</v>
      </c>
      <c r="J271" t="s">
        <v>17</v>
      </c>
      <c r="K271" t="s">
        <v>18</v>
      </c>
    </row>
    <row r="272" spans="1:11" x14ac:dyDescent="0.25">
      <c r="A272" t="s">
        <v>851</v>
      </c>
      <c r="B272" t="s">
        <v>75</v>
      </c>
      <c r="C272" t="s">
        <v>852</v>
      </c>
      <c r="D272" t="s">
        <v>853</v>
      </c>
      <c r="E272" s="2">
        <v>46245</v>
      </c>
      <c r="F272" s="2">
        <v>46260</v>
      </c>
      <c r="G272">
        <v>16165.29</v>
      </c>
      <c r="H272" t="s">
        <v>15</v>
      </c>
      <c r="I272" t="s">
        <v>23</v>
      </c>
      <c r="J272" t="s">
        <v>17</v>
      </c>
      <c r="K272" t="s">
        <v>24</v>
      </c>
    </row>
    <row r="273" spans="1:11" x14ac:dyDescent="0.25">
      <c r="A273" t="s">
        <v>854</v>
      </c>
      <c r="B273" t="s">
        <v>170</v>
      </c>
      <c r="C273" t="s">
        <v>855</v>
      </c>
      <c r="D273" t="s">
        <v>856</v>
      </c>
      <c r="E273" s="2">
        <v>46266</v>
      </c>
      <c r="F273" s="2">
        <v>46296</v>
      </c>
      <c r="G273">
        <v>6864.84</v>
      </c>
      <c r="H273" t="s">
        <v>15</v>
      </c>
      <c r="I273" t="s">
        <v>23</v>
      </c>
      <c r="J273" t="s">
        <v>17</v>
      </c>
      <c r="K273" t="s">
        <v>18</v>
      </c>
    </row>
    <row r="274" spans="1:11" x14ac:dyDescent="0.25">
      <c r="A274" t="s">
        <v>857</v>
      </c>
      <c r="B274" t="s">
        <v>12</v>
      </c>
      <c r="C274" t="s">
        <v>858</v>
      </c>
      <c r="D274" t="s">
        <v>859</v>
      </c>
      <c r="E274" s="2">
        <v>46184</v>
      </c>
      <c r="F274" s="2">
        <v>46199</v>
      </c>
      <c r="G274">
        <v>509.57</v>
      </c>
      <c r="H274" t="s">
        <v>15</v>
      </c>
      <c r="I274" t="s">
        <v>39</v>
      </c>
      <c r="J274" t="s">
        <v>17</v>
      </c>
      <c r="K274" t="s">
        <v>18</v>
      </c>
    </row>
    <row r="275" spans="1:11" x14ac:dyDescent="0.25">
      <c r="A275" t="s">
        <v>860</v>
      </c>
      <c r="B275" t="s">
        <v>163</v>
      </c>
      <c r="C275" t="s">
        <v>861</v>
      </c>
      <c r="D275" t="s">
        <v>862</v>
      </c>
      <c r="E275" s="2">
        <v>46106</v>
      </c>
      <c r="F275" s="2">
        <v>46121</v>
      </c>
      <c r="G275">
        <v>14151.28</v>
      </c>
      <c r="H275" t="s">
        <v>15</v>
      </c>
      <c r="I275" t="s">
        <v>23</v>
      </c>
      <c r="J275" t="s">
        <v>17</v>
      </c>
      <c r="K275" t="s">
        <v>24</v>
      </c>
    </row>
    <row r="276" spans="1:11" x14ac:dyDescent="0.25">
      <c r="A276" t="s">
        <v>863</v>
      </c>
      <c r="B276" t="s">
        <v>122</v>
      </c>
      <c r="C276" t="s">
        <v>864</v>
      </c>
      <c r="D276" t="s">
        <v>865</v>
      </c>
      <c r="E276" s="2">
        <v>46063</v>
      </c>
      <c r="F276" s="2">
        <v>46078</v>
      </c>
      <c r="G276">
        <v>12579.73</v>
      </c>
      <c r="H276" t="s">
        <v>15</v>
      </c>
      <c r="I276" t="s">
        <v>16</v>
      </c>
      <c r="J276" t="s">
        <v>17</v>
      </c>
      <c r="K276" t="s">
        <v>63</v>
      </c>
    </row>
    <row r="277" spans="1:11" x14ac:dyDescent="0.25">
      <c r="A277" t="s">
        <v>866</v>
      </c>
      <c r="B277" t="s">
        <v>138</v>
      </c>
      <c r="C277" t="s">
        <v>867</v>
      </c>
      <c r="D277" t="s">
        <v>868</v>
      </c>
      <c r="E277" s="2">
        <v>46226</v>
      </c>
      <c r="F277" s="2">
        <v>46271</v>
      </c>
      <c r="G277">
        <v>24226.74</v>
      </c>
      <c r="H277" t="s">
        <v>15</v>
      </c>
      <c r="I277" t="s">
        <v>39</v>
      </c>
      <c r="J277" t="s">
        <v>17</v>
      </c>
      <c r="K277" t="s">
        <v>18</v>
      </c>
    </row>
    <row r="278" spans="1:11" x14ac:dyDescent="0.25">
      <c r="A278" t="s">
        <v>869</v>
      </c>
      <c r="B278" t="s">
        <v>57</v>
      </c>
      <c r="C278" t="s">
        <v>870</v>
      </c>
      <c r="D278" t="s">
        <v>871</v>
      </c>
      <c r="E278" s="2">
        <v>46306</v>
      </c>
      <c r="F278" s="2">
        <v>46351</v>
      </c>
      <c r="G278">
        <v>23535.63</v>
      </c>
      <c r="H278" t="s">
        <v>15</v>
      </c>
      <c r="I278" t="s">
        <v>16</v>
      </c>
      <c r="J278" t="s">
        <v>30</v>
      </c>
      <c r="K278" t="s">
        <v>24</v>
      </c>
    </row>
    <row r="279" spans="1:11" x14ac:dyDescent="0.25">
      <c r="A279" t="s">
        <v>872</v>
      </c>
      <c r="B279" t="s">
        <v>163</v>
      </c>
      <c r="C279" t="s">
        <v>873</v>
      </c>
      <c r="D279" t="s">
        <v>874</v>
      </c>
      <c r="E279" s="2">
        <v>46149</v>
      </c>
      <c r="F279" s="2">
        <v>46164</v>
      </c>
      <c r="G279">
        <v>17862.14</v>
      </c>
      <c r="H279" t="s">
        <v>15</v>
      </c>
      <c r="I279" t="s">
        <v>39</v>
      </c>
      <c r="J279" t="s">
        <v>17</v>
      </c>
      <c r="K279" t="s">
        <v>24</v>
      </c>
    </row>
    <row r="280" spans="1:11" x14ac:dyDescent="0.25">
      <c r="A280" t="s">
        <v>875</v>
      </c>
      <c r="B280" t="s">
        <v>41</v>
      </c>
      <c r="C280" t="s">
        <v>876</v>
      </c>
      <c r="D280" t="s">
        <v>877</v>
      </c>
      <c r="E280" s="2">
        <v>46185</v>
      </c>
      <c r="F280" s="2">
        <v>46200</v>
      </c>
      <c r="G280">
        <v>9094.2199999999993</v>
      </c>
      <c r="H280" t="s">
        <v>15</v>
      </c>
      <c r="I280" t="s">
        <v>16</v>
      </c>
      <c r="J280" t="s">
        <v>17</v>
      </c>
      <c r="K280" t="s">
        <v>18</v>
      </c>
    </row>
    <row r="281" spans="1:11" x14ac:dyDescent="0.25">
      <c r="A281" t="s">
        <v>878</v>
      </c>
      <c r="B281" t="s">
        <v>102</v>
      </c>
      <c r="C281" t="s">
        <v>879</v>
      </c>
      <c r="D281" t="s">
        <v>880</v>
      </c>
      <c r="E281" s="2">
        <v>46118</v>
      </c>
      <c r="F281" s="2">
        <v>46163</v>
      </c>
      <c r="G281">
        <v>10842.77</v>
      </c>
      <c r="H281" t="s">
        <v>15</v>
      </c>
      <c r="I281" t="s">
        <v>29</v>
      </c>
      <c r="J281" t="s">
        <v>30</v>
      </c>
      <c r="K281" t="s">
        <v>24</v>
      </c>
    </row>
    <row r="282" spans="1:11" x14ac:dyDescent="0.25">
      <c r="A282" t="s">
        <v>881</v>
      </c>
      <c r="B282" t="s">
        <v>102</v>
      </c>
      <c r="C282" t="s">
        <v>882</v>
      </c>
      <c r="D282" t="s">
        <v>883</v>
      </c>
      <c r="E282" s="2">
        <v>46189</v>
      </c>
      <c r="F282" s="2">
        <v>46234</v>
      </c>
      <c r="G282">
        <v>39483.35</v>
      </c>
      <c r="H282" t="s">
        <v>15</v>
      </c>
      <c r="I282" t="s">
        <v>23</v>
      </c>
      <c r="J282" t="s">
        <v>17</v>
      </c>
      <c r="K282" t="s">
        <v>18</v>
      </c>
    </row>
    <row r="283" spans="1:11" x14ac:dyDescent="0.25">
      <c r="A283" t="s">
        <v>884</v>
      </c>
      <c r="B283" t="s">
        <v>170</v>
      </c>
      <c r="C283" t="s">
        <v>885</v>
      </c>
      <c r="D283" t="s">
        <v>886</v>
      </c>
      <c r="E283" s="2">
        <v>46289</v>
      </c>
      <c r="F283" s="2">
        <v>46319</v>
      </c>
      <c r="G283">
        <v>4339.22</v>
      </c>
      <c r="H283" t="s">
        <v>15</v>
      </c>
      <c r="I283" t="s">
        <v>16</v>
      </c>
      <c r="J283" t="s">
        <v>17</v>
      </c>
      <c r="K283" t="s">
        <v>18</v>
      </c>
    </row>
    <row r="284" spans="1:11" x14ac:dyDescent="0.25">
      <c r="A284" t="s">
        <v>887</v>
      </c>
      <c r="B284" t="s">
        <v>12</v>
      </c>
      <c r="C284" t="s">
        <v>888</v>
      </c>
      <c r="D284" t="s">
        <v>889</v>
      </c>
      <c r="E284" s="2">
        <v>46245</v>
      </c>
      <c r="F284" s="2">
        <v>46260</v>
      </c>
      <c r="G284">
        <v>6985.93</v>
      </c>
      <c r="H284" t="s">
        <v>15</v>
      </c>
      <c r="I284" t="s">
        <v>16</v>
      </c>
      <c r="J284" t="s">
        <v>17</v>
      </c>
      <c r="K284" t="s">
        <v>24</v>
      </c>
    </row>
    <row r="285" spans="1:11" x14ac:dyDescent="0.25">
      <c r="A285" t="s">
        <v>890</v>
      </c>
      <c r="B285" t="s">
        <v>75</v>
      </c>
      <c r="C285" t="s">
        <v>891</v>
      </c>
      <c r="D285" t="s">
        <v>892</v>
      </c>
      <c r="E285" s="2">
        <v>46123</v>
      </c>
      <c r="F285" s="2">
        <v>46138</v>
      </c>
      <c r="G285">
        <v>11511.6</v>
      </c>
      <c r="H285" t="s">
        <v>15</v>
      </c>
      <c r="I285" t="s">
        <v>16</v>
      </c>
      <c r="J285" t="s">
        <v>17</v>
      </c>
      <c r="K285" t="s">
        <v>63</v>
      </c>
    </row>
    <row r="286" spans="1:11" x14ac:dyDescent="0.25">
      <c r="A286" t="s">
        <v>893</v>
      </c>
      <c r="B286" t="s">
        <v>112</v>
      </c>
      <c r="C286" t="s">
        <v>894</v>
      </c>
      <c r="D286" t="s">
        <v>895</v>
      </c>
      <c r="E286" s="2">
        <v>46194</v>
      </c>
      <c r="F286" s="2">
        <v>46209</v>
      </c>
      <c r="G286">
        <v>10833.73</v>
      </c>
      <c r="H286" t="s">
        <v>15</v>
      </c>
      <c r="I286" t="s">
        <v>29</v>
      </c>
      <c r="J286" t="s">
        <v>17</v>
      </c>
      <c r="K286" t="s">
        <v>24</v>
      </c>
    </row>
    <row r="287" spans="1:11" x14ac:dyDescent="0.25">
      <c r="A287" t="s">
        <v>896</v>
      </c>
      <c r="B287" t="s">
        <v>53</v>
      </c>
      <c r="C287" t="s">
        <v>897</v>
      </c>
      <c r="D287" t="s">
        <v>898</v>
      </c>
      <c r="E287" s="2">
        <v>46268</v>
      </c>
      <c r="F287" s="2">
        <v>46298</v>
      </c>
      <c r="G287">
        <v>7936.88</v>
      </c>
      <c r="H287" t="s">
        <v>15</v>
      </c>
      <c r="I287" t="s">
        <v>39</v>
      </c>
      <c r="J287" t="s">
        <v>17</v>
      </c>
      <c r="K287" t="s">
        <v>24</v>
      </c>
    </row>
    <row r="288" spans="1:11" x14ac:dyDescent="0.25">
      <c r="A288" t="s">
        <v>899</v>
      </c>
      <c r="B288" t="s">
        <v>20</v>
      </c>
      <c r="C288" t="s">
        <v>900</v>
      </c>
      <c r="D288" t="s">
        <v>901</v>
      </c>
      <c r="E288" s="2">
        <v>46189</v>
      </c>
      <c r="F288" s="2">
        <v>46204</v>
      </c>
      <c r="G288">
        <v>9476.26</v>
      </c>
      <c r="H288" t="s">
        <v>15</v>
      </c>
      <c r="I288" t="s">
        <v>29</v>
      </c>
      <c r="J288" t="s">
        <v>17</v>
      </c>
      <c r="K288" t="s">
        <v>24</v>
      </c>
    </row>
    <row r="289" spans="1:11" x14ac:dyDescent="0.25">
      <c r="A289" t="s">
        <v>902</v>
      </c>
      <c r="B289" t="s">
        <v>32</v>
      </c>
      <c r="C289" t="s">
        <v>903</v>
      </c>
      <c r="D289" t="s">
        <v>904</v>
      </c>
      <c r="E289" s="2">
        <v>46115</v>
      </c>
      <c r="F289" s="2">
        <v>46145</v>
      </c>
      <c r="G289">
        <v>17081.009999999998</v>
      </c>
      <c r="H289" t="s">
        <v>15</v>
      </c>
      <c r="I289" t="s">
        <v>16</v>
      </c>
      <c r="J289" t="s">
        <v>17</v>
      </c>
      <c r="K289" t="s">
        <v>24</v>
      </c>
    </row>
    <row r="290" spans="1:11" x14ac:dyDescent="0.25">
      <c r="A290" t="s">
        <v>905</v>
      </c>
      <c r="B290" t="s">
        <v>102</v>
      </c>
      <c r="C290" t="s">
        <v>906</v>
      </c>
      <c r="D290" t="s">
        <v>907</v>
      </c>
      <c r="E290" s="2">
        <v>46232</v>
      </c>
      <c r="F290" s="2">
        <v>46277</v>
      </c>
      <c r="G290">
        <v>16863.68</v>
      </c>
      <c r="H290" t="s">
        <v>15</v>
      </c>
      <c r="I290" t="s">
        <v>16</v>
      </c>
      <c r="J290" t="s">
        <v>17</v>
      </c>
      <c r="K290" t="s">
        <v>63</v>
      </c>
    </row>
    <row r="291" spans="1:11" x14ac:dyDescent="0.25">
      <c r="A291" t="s">
        <v>908</v>
      </c>
      <c r="B291" t="s">
        <v>41</v>
      </c>
      <c r="C291" t="s">
        <v>909</v>
      </c>
      <c r="D291" t="s">
        <v>910</v>
      </c>
      <c r="E291" s="2">
        <v>46060</v>
      </c>
      <c r="F291" s="2">
        <v>46075</v>
      </c>
      <c r="G291">
        <v>11292.78</v>
      </c>
      <c r="H291" t="s">
        <v>15</v>
      </c>
      <c r="I291" t="s">
        <v>16</v>
      </c>
      <c r="J291" t="s">
        <v>17</v>
      </c>
      <c r="K291" t="s">
        <v>24</v>
      </c>
    </row>
    <row r="292" spans="1:11" x14ac:dyDescent="0.25">
      <c r="A292" t="s">
        <v>911</v>
      </c>
      <c r="B292" t="s">
        <v>85</v>
      </c>
      <c r="C292" t="s">
        <v>912</v>
      </c>
      <c r="D292" t="s">
        <v>913</v>
      </c>
      <c r="E292" s="2">
        <v>46301</v>
      </c>
      <c r="F292" s="2">
        <v>46346</v>
      </c>
      <c r="G292">
        <v>1034.72</v>
      </c>
      <c r="H292" t="s">
        <v>15</v>
      </c>
      <c r="I292" t="s">
        <v>16</v>
      </c>
      <c r="J292" t="s">
        <v>30</v>
      </c>
      <c r="K292" t="s">
        <v>18</v>
      </c>
    </row>
    <row r="293" spans="1:11" x14ac:dyDescent="0.25">
      <c r="A293" t="s">
        <v>914</v>
      </c>
      <c r="B293" t="s">
        <v>57</v>
      </c>
      <c r="C293" t="s">
        <v>915</v>
      </c>
      <c r="D293" t="s">
        <v>916</v>
      </c>
      <c r="E293" s="2">
        <v>46108</v>
      </c>
      <c r="F293" s="2">
        <v>46153</v>
      </c>
      <c r="G293">
        <v>59426.29</v>
      </c>
      <c r="H293" t="s">
        <v>15</v>
      </c>
      <c r="I293" t="s">
        <v>16</v>
      </c>
      <c r="J293" t="s">
        <v>17</v>
      </c>
      <c r="K293" t="s">
        <v>63</v>
      </c>
    </row>
    <row r="294" spans="1:11" x14ac:dyDescent="0.25">
      <c r="A294" t="s">
        <v>917</v>
      </c>
      <c r="B294" t="s">
        <v>45</v>
      </c>
      <c r="C294" t="s">
        <v>918</v>
      </c>
      <c r="D294" t="s">
        <v>919</v>
      </c>
      <c r="E294" s="2">
        <v>46028</v>
      </c>
      <c r="F294" s="2">
        <v>46058</v>
      </c>
      <c r="G294">
        <v>2573.33</v>
      </c>
      <c r="H294" t="s">
        <v>15</v>
      </c>
      <c r="I294" t="s">
        <v>16</v>
      </c>
      <c r="J294" t="s">
        <v>17</v>
      </c>
      <c r="K294" t="s">
        <v>63</v>
      </c>
    </row>
    <row r="295" spans="1:11" x14ac:dyDescent="0.25">
      <c r="A295" t="s">
        <v>920</v>
      </c>
      <c r="B295" t="s">
        <v>57</v>
      </c>
      <c r="C295" t="s">
        <v>921</v>
      </c>
      <c r="D295" t="s">
        <v>922</v>
      </c>
      <c r="E295" s="2">
        <v>46223</v>
      </c>
      <c r="F295" s="2">
        <v>46268</v>
      </c>
      <c r="G295">
        <v>11641.01</v>
      </c>
      <c r="H295" t="s">
        <v>15</v>
      </c>
      <c r="I295" t="s">
        <v>16</v>
      </c>
      <c r="J295" t="s">
        <v>30</v>
      </c>
      <c r="K295" t="s">
        <v>18</v>
      </c>
    </row>
    <row r="296" spans="1:11" x14ac:dyDescent="0.25">
      <c r="A296" t="s">
        <v>923</v>
      </c>
      <c r="B296" t="s">
        <v>163</v>
      </c>
      <c r="C296" t="s">
        <v>924</v>
      </c>
      <c r="D296" t="s">
        <v>925</v>
      </c>
      <c r="E296" s="2">
        <v>46235</v>
      </c>
      <c r="F296" s="2">
        <v>46250</v>
      </c>
      <c r="G296">
        <v>23023.22</v>
      </c>
      <c r="H296" t="s">
        <v>15</v>
      </c>
      <c r="I296" t="s">
        <v>16</v>
      </c>
      <c r="J296" t="s">
        <v>17</v>
      </c>
      <c r="K296" t="s">
        <v>18</v>
      </c>
    </row>
    <row r="297" spans="1:11" x14ac:dyDescent="0.25">
      <c r="A297" t="s">
        <v>926</v>
      </c>
      <c r="B297" t="s">
        <v>36</v>
      </c>
      <c r="C297" t="s">
        <v>927</v>
      </c>
      <c r="D297" t="s">
        <v>928</v>
      </c>
      <c r="E297" s="2">
        <v>46270</v>
      </c>
      <c r="F297" s="2">
        <v>46300</v>
      </c>
      <c r="G297">
        <v>8785.7099999999991</v>
      </c>
      <c r="H297" t="s">
        <v>15</v>
      </c>
      <c r="I297" t="s">
        <v>29</v>
      </c>
      <c r="J297" t="s">
        <v>30</v>
      </c>
      <c r="K297" t="s">
        <v>24</v>
      </c>
    </row>
    <row r="298" spans="1:11" x14ac:dyDescent="0.25">
      <c r="A298" t="s">
        <v>929</v>
      </c>
      <c r="B298" t="s">
        <v>45</v>
      </c>
      <c r="C298" t="s">
        <v>930</v>
      </c>
      <c r="D298" t="s">
        <v>931</v>
      </c>
      <c r="E298" s="2">
        <v>46034</v>
      </c>
      <c r="F298" s="2">
        <v>46064</v>
      </c>
      <c r="G298">
        <v>21247.599999999999</v>
      </c>
      <c r="H298" t="s">
        <v>15</v>
      </c>
      <c r="I298" t="s">
        <v>29</v>
      </c>
      <c r="J298" t="s">
        <v>17</v>
      </c>
      <c r="K298" t="s">
        <v>18</v>
      </c>
    </row>
    <row r="299" spans="1:11" x14ac:dyDescent="0.25">
      <c r="A299" t="s">
        <v>932</v>
      </c>
      <c r="B299" t="s">
        <v>36</v>
      </c>
      <c r="C299" t="s">
        <v>933</v>
      </c>
      <c r="D299" t="s">
        <v>934</v>
      </c>
      <c r="E299" s="2">
        <v>46112</v>
      </c>
      <c r="F299" s="2">
        <v>46142</v>
      </c>
      <c r="G299">
        <v>13851.53</v>
      </c>
      <c r="H299" t="s">
        <v>15</v>
      </c>
      <c r="I299" t="s">
        <v>16</v>
      </c>
      <c r="J299" t="s">
        <v>17</v>
      </c>
      <c r="K299" t="s">
        <v>18</v>
      </c>
    </row>
    <row r="300" spans="1:11" x14ac:dyDescent="0.25">
      <c r="A300" t="s">
        <v>935</v>
      </c>
      <c r="B300" t="s">
        <v>12</v>
      </c>
      <c r="C300" t="s">
        <v>936</v>
      </c>
      <c r="D300" t="s">
        <v>937</v>
      </c>
      <c r="E300" s="2">
        <v>46244</v>
      </c>
      <c r="F300" s="2">
        <v>46259</v>
      </c>
      <c r="G300">
        <v>9962.09</v>
      </c>
      <c r="H300" t="s">
        <v>15</v>
      </c>
      <c r="I300" t="s">
        <v>16</v>
      </c>
      <c r="J300" t="s">
        <v>17</v>
      </c>
      <c r="K300" t="s">
        <v>24</v>
      </c>
    </row>
    <row r="301" spans="1:11" x14ac:dyDescent="0.25">
      <c r="A301" t="s">
        <v>938</v>
      </c>
      <c r="B301" t="s">
        <v>53</v>
      </c>
      <c r="C301" t="s">
        <v>939</v>
      </c>
      <c r="D301" t="s">
        <v>940</v>
      </c>
      <c r="E301" s="2">
        <v>46128</v>
      </c>
      <c r="F301" s="2">
        <v>46158</v>
      </c>
      <c r="G301">
        <v>7045.22</v>
      </c>
      <c r="H301" t="s">
        <v>15</v>
      </c>
      <c r="I301" t="s">
        <v>29</v>
      </c>
      <c r="J301" t="s">
        <v>17</v>
      </c>
      <c r="K301" t="s">
        <v>18</v>
      </c>
    </row>
    <row r="302" spans="1:11" x14ac:dyDescent="0.25">
      <c r="A302" t="s">
        <v>941</v>
      </c>
      <c r="B302" t="s">
        <v>57</v>
      </c>
      <c r="C302" t="s">
        <v>942</v>
      </c>
      <c r="D302" t="s">
        <v>943</v>
      </c>
      <c r="E302" s="2">
        <v>46189</v>
      </c>
      <c r="F302" s="2">
        <v>46234</v>
      </c>
      <c r="G302">
        <v>5023.21</v>
      </c>
      <c r="H302" t="s">
        <v>15</v>
      </c>
      <c r="I302" t="s">
        <v>16</v>
      </c>
      <c r="J302" t="s">
        <v>17</v>
      </c>
      <c r="K302" t="s">
        <v>24</v>
      </c>
    </row>
    <row r="303" spans="1:11" x14ac:dyDescent="0.25">
      <c r="A303" t="s">
        <v>944</v>
      </c>
      <c r="B303" t="s">
        <v>41</v>
      </c>
      <c r="C303" t="s">
        <v>945</v>
      </c>
      <c r="D303" t="s">
        <v>946</v>
      </c>
      <c r="E303" s="2">
        <v>46223</v>
      </c>
      <c r="F303" s="2">
        <v>46238</v>
      </c>
      <c r="G303">
        <v>14724.68</v>
      </c>
      <c r="H303" t="s">
        <v>15</v>
      </c>
      <c r="I303" t="s">
        <v>29</v>
      </c>
      <c r="J303" t="s">
        <v>17</v>
      </c>
      <c r="K303" t="s">
        <v>63</v>
      </c>
    </row>
    <row r="304" spans="1:11" x14ac:dyDescent="0.25">
      <c r="A304" t="s">
        <v>947</v>
      </c>
      <c r="B304" t="s">
        <v>138</v>
      </c>
      <c r="C304" t="s">
        <v>948</v>
      </c>
      <c r="D304" t="s">
        <v>949</v>
      </c>
      <c r="E304" s="2">
        <v>46066</v>
      </c>
      <c r="F304" s="2">
        <v>46111</v>
      </c>
      <c r="G304">
        <v>16842.099999999999</v>
      </c>
      <c r="H304" t="s">
        <v>15</v>
      </c>
      <c r="I304" t="s">
        <v>29</v>
      </c>
      <c r="J304" t="s">
        <v>17</v>
      </c>
      <c r="K304" t="s">
        <v>18</v>
      </c>
    </row>
    <row r="305" spans="1:11" x14ac:dyDescent="0.25">
      <c r="A305" t="s">
        <v>950</v>
      </c>
      <c r="B305" t="s">
        <v>36</v>
      </c>
      <c r="C305" t="s">
        <v>951</v>
      </c>
      <c r="D305" t="s">
        <v>952</v>
      </c>
      <c r="E305" s="2">
        <v>46221</v>
      </c>
      <c r="F305" s="2">
        <v>46251</v>
      </c>
      <c r="G305">
        <v>10525.79</v>
      </c>
      <c r="H305" t="s">
        <v>15</v>
      </c>
      <c r="I305" t="s">
        <v>29</v>
      </c>
      <c r="J305" t="s">
        <v>17</v>
      </c>
      <c r="K305" t="s">
        <v>24</v>
      </c>
    </row>
    <row r="306" spans="1:11" x14ac:dyDescent="0.25">
      <c r="A306" t="s">
        <v>953</v>
      </c>
      <c r="B306" t="s">
        <v>12</v>
      </c>
      <c r="C306" t="s">
        <v>954</v>
      </c>
      <c r="D306" t="s">
        <v>955</v>
      </c>
      <c r="E306" s="2">
        <v>46307</v>
      </c>
      <c r="F306" s="2">
        <v>46322</v>
      </c>
      <c r="G306">
        <v>4271.6099999999997</v>
      </c>
      <c r="H306" t="s">
        <v>15</v>
      </c>
      <c r="I306" t="s">
        <v>39</v>
      </c>
      <c r="J306" t="s">
        <v>17</v>
      </c>
      <c r="K306" t="s">
        <v>63</v>
      </c>
    </row>
    <row r="307" spans="1:11" x14ac:dyDescent="0.25">
      <c r="A307" t="s">
        <v>956</v>
      </c>
      <c r="B307" t="s">
        <v>71</v>
      </c>
      <c r="C307" t="s">
        <v>957</v>
      </c>
      <c r="D307" t="s">
        <v>958</v>
      </c>
      <c r="E307" s="2">
        <v>46271</v>
      </c>
      <c r="F307" s="2">
        <v>46286</v>
      </c>
      <c r="G307">
        <v>3516.98</v>
      </c>
      <c r="H307" t="s">
        <v>15</v>
      </c>
      <c r="I307" t="s">
        <v>16</v>
      </c>
      <c r="J307" t="s">
        <v>17</v>
      </c>
      <c r="K307" t="s">
        <v>63</v>
      </c>
    </row>
    <row r="308" spans="1:11" x14ac:dyDescent="0.25">
      <c r="A308" t="s">
        <v>959</v>
      </c>
      <c r="B308" t="s">
        <v>85</v>
      </c>
      <c r="C308" t="s">
        <v>960</v>
      </c>
      <c r="D308" t="s">
        <v>961</v>
      </c>
      <c r="E308" s="2">
        <v>46250</v>
      </c>
      <c r="F308" s="2">
        <v>46295</v>
      </c>
      <c r="G308">
        <v>12278.84</v>
      </c>
      <c r="H308" t="s">
        <v>15</v>
      </c>
      <c r="I308" t="s">
        <v>39</v>
      </c>
      <c r="J308" t="s">
        <v>17</v>
      </c>
      <c r="K308" t="s">
        <v>63</v>
      </c>
    </row>
    <row r="309" spans="1:11" x14ac:dyDescent="0.25">
      <c r="A309" t="s">
        <v>962</v>
      </c>
      <c r="B309" t="s">
        <v>20</v>
      </c>
      <c r="C309" t="s">
        <v>963</v>
      </c>
      <c r="D309" t="s">
        <v>964</v>
      </c>
      <c r="E309" s="2">
        <v>46298</v>
      </c>
      <c r="F309" s="2">
        <v>46313</v>
      </c>
      <c r="G309">
        <v>7302.12</v>
      </c>
      <c r="H309" t="s">
        <v>15</v>
      </c>
      <c r="I309" t="s">
        <v>39</v>
      </c>
      <c r="J309" t="s">
        <v>17</v>
      </c>
      <c r="K309" t="s">
        <v>24</v>
      </c>
    </row>
    <row r="310" spans="1:11" x14ac:dyDescent="0.25">
      <c r="A310" t="s">
        <v>965</v>
      </c>
      <c r="B310" t="s">
        <v>45</v>
      </c>
      <c r="C310" t="s">
        <v>966</v>
      </c>
      <c r="D310" t="s">
        <v>967</v>
      </c>
      <c r="E310" s="2">
        <v>46081</v>
      </c>
      <c r="F310" s="2">
        <v>46111</v>
      </c>
      <c r="G310">
        <v>6785.08</v>
      </c>
      <c r="H310" t="s">
        <v>15</v>
      </c>
      <c r="I310" t="s">
        <v>39</v>
      </c>
      <c r="J310" t="s">
        <v>30</v>
      </c>
      <c r="K310" t="s">
        <v>24</v>
      </c>
    </row>
    <row r="311" spans="1:11" x14ac:dyDescent="0.25">
      <c r="A311" t="s">
        <v>968</v>
      </c>
      <c r="B311" t="s">
        <v>112</v>
      </c>
      <c r="C311" t="s">
        <v>969</v>
      </c>
      <c r="D311" t="s">
        <v>970</v>
      </c>
      <c r="E311" s="2">
        <v>46302</v>
      </c>
      <c r="F311" s="2">
        <v>46317</v>
      </c>
      <c r="G311">
        <v>5557.32</v>
      </c>
      <c r="H311" t="s">
        <v>15</v>
      </c>
      <c r="I311" t="s">
        <v>16</v>
      </c>
      <c r="J311" t="s">
        <v>17</v>
      </c>
      <c r="K311" t="s">
        <v>18</v>
      </c>
    </row>
    <row r="312" spans="1:11" x14ac:dyDescent="0.25">
      <c r="A312" t="s">
        <v>971</v>
      </c>
      <c r="B312" t="s">
        <v>112</v>
      </c>
      <c r="C312" t="s">
        <v>972</v>
      </c>
      <c r="D312" t="s">
        <v>973</v>
      </c>
      <c r="E312" s="2">
        <v>46157</v>
      </c>
      <c r="F312" s="2">
        <v>46172</v>
      </c>
      <c r="G312">
        <v>8792.6</v>
      </c>
      <c r="H312" t="s">
        <v>15</v>
      </c>
      <c r="I312" t="s">
        <v>39</v>
      </c>
      <c r="J312" t="s">
        <v>17</v>
      </c>
      <c r="K312" t="s">
        <v>24</v>
      </c>
    </row>
    <row r="313" spans="1:11" x14ac:dyDescent="0.25">
      <c r="A313" t="s">
        <v>974</v>
      </c>
      <c r="B313" t="s">
        <v>170</v>
      </c>
      <c r="C313" t="s">
        <v>975</v>
      </c>
      <c r="D313" t="s">
        <v>976</v>
      </c>
      <c r="E313" s="2">
        <v>46202</v>
      </c>
      <c r="F313" s="2">
        <v>46232</v>
      </c>
      <c r="G313">
        <v>21542.89</v>
      </c>
      <c r="H313" t="s">
        <v>15</v>
      </c>
      <c r="I313" t="s">
        <v>16</v>
      </c>
      <c r="J313" t="s">
        <v>17</v>
      </c>
      <c r="K313" t="s">
        <v>18</v>
      </c>
    </row>
    <row r="314" spans="1:11" x14ac:dyDescent="0.25">
      <c r="A314" t="s">
        <v>977</v>
      </c>
      <c r="B314" t="s">
        <v>89</v>
      </c>
      <c r="C314" t="s">
        <v>978</v>
      </c>
      <c r="D314" t="s">
        <v>979</v>
      </c>
      <c r="E314" s="2">
        <v>46202</v>
      </c>
      <c r="F314" s="2">
        <v>46217</v>
      </c>
      <c r="G314">
        <v>13363.15</v>
      </c>
      <c r="H314" t="s">
        <v>15</v>
      </c>
      <c r="I314" t="s">
        <v>23</v>
      </c>
      <c r="J314" t="s">
        <v>17</v>
      </c>
      <c r="K314" t="s">
        <v>24</v>
      </c>
    </row>
    <row r="315" spans="1:11" x14ac:dyDescent="0.25">
      <c r="A315" t="s">
        <v>980</v>
      </c>
      <c r="B315" t="s">
        <v>49</v>
      </c>
      <c r="C315" t="s">
        <v>981</v>
      </c>
      <c r="D315" t="s">
        <v>982</v>
      </c>
      <c r="E315" s="2">
        <v>46286</v>
      </c>
      <c r="F315" s="2">
        <v>46316</v>
      </c>
      <c r="G315">
        <v>24638.95</v>
      </c>
      <c r="H315" t="s">
        <v>15</v>
      </c>
      <c r="I315" t="s">
        <v>23</v>
      </c>
      <c r="J315" t="s">
        <v>17</v>
      </c>
      <c r="K315" t="s">
        <v>18</v>
      </c>
    </row>
    <row r="316" spans="1:11" x14ac:dyDescent="0.25">
      <c r="A316" t="s">
        <v>983</v>
      </c>
      <c r="B316" t="s">
        <v>49</v>
      </c>
      <c r="C316" t="s">
        <v>984</v>
      </c>
      <c r="D316" t="s">
        <v>985</v>
      </c>
      <c r="E316" s="2">
        <v>46087</v>
      </c>
      <c r="F316" s="2">
        <v>46117</v>
      </c>
      <c r="G316">
        <v>17571.490000000002</v>
      </c>
      <c r="H316" t="s">
        <v>15</v>
      </c>
      <c r="I316" t="s">
        <v>16</v>
      </c>
      <c r="J316" t="s">
        <v>17</v>
      </c>
      <c r="K316" t="s">
        <v>24</v>
      </c>
    </row>
    <row r="317" spans="1:11" x14ac:dyDescent="0.25">
      <c r="A317" t="s">
        <v>986</v>
      </c>
      <c r="B317" t="s">
        <v>41</v>
      </c>
      <c r="C317" t="s">
        <v>987</v>
      </c>
      <c r="D317" t="s">
        <v>988</v>
      </c>
      <c r="E317" s="2">
        <v>46273</v>
      </c>
      <c r="F317" s="2">
        <v>46288</v>
      </c>
      <c r="G317">
        <v>3657.23</v>
      </c>
      <c r="H317" t="s">
        <v>15</v>
      </c>
      <c r="I317" t="s">
        <v>16</v>
      </c>
      <c r="J317" t="s">
        <v>30</v>
      </c>
      <c r="K317" t="s">
        <v>18</v>
      </c>
    </row>
    <row r="318" spans="1:11" x14ac:dyDescent="0.25">
      <c r="A318" t="s">
        <v>989</v>
      </c>
      <c r="B318" t="s">
        <v>41</v>
      </c>
      <c r="C318" t="s">
        <v>990</v>
      </c>
      <c r="D318" t="s">
        <v>991</v>
      </c>
      <c r="E318" s="2">
        <v>46286</v>
      </c>
      <c r="F318" s="2">
        <v>46301</v>
      </c>
      <c r="G318">
        <v>18775.080000000002</v>
      </c>
      <c r="H318" t="s">
        <v>15</v>
      </c>
      <c r="I318" t="s">
        <v>23</v>
      </c>
      <c r="J318" t="s">
        <v>17</v>
      </c>
      <c r="K318" t="s">
        <v>18</v>
      </c>
    </row>
    <row r="319" spans="1:11" x14ac:dyDescent="0.25">
      <c r="A319" t="s">
        <v>992</v>
      </c>
      <c r="B319" t="s">
        <v>102</v>
      </c>
      <c r="C319" t="s">
        <v>993</v>
      </c>
      <c r="D319" t="s">
        <v>994</v>
      </c>
      <c r="E319" s="2">
        <v>46257</v>
      </c>
      <c r="F319" s="2">
        <v>46302</v>
      </c>
      <c r="G319">
        <v>15914.83</v>
      </c>
      <c r="H319" t="s">
        <v>15</v>
      </c>
      <c r="I319" t="s">
        <v>16</v>
      </c>
      <c r="J319" t="s">
        <v>17</v>
      </c>
      <c r="K319" t="s">
        <v>63</v>
      </c>
    </row>
    <row r="320" spans="1:11" x14ac:dyDescent="0.25">
      <c r="A320" t="s">
        <v>995</v>
      </c>
      <c r="B320" t="s">
        <v>53</v>
      </c>
      <c r="C320" t="s">
        <v>996</v>
      </c>
      <c r="D320" t="s">
        <v>997</v>
      </c>
      <c r="E320" s="2">
        <v>46276</v>
      </c>
      <c r="F320" s="2">
        <v>46306</v>
      </c>
      <c r="G320">
        <v>6801.2</v>
      </c>
      <c r="H320" t="s">
        <v>15</v>
      </c>
      <c r="I320" t="s">
        <v>16</v>
      </c>
      <c r="J320" t="s">
        <v>17</v>
      </c>
      <c r="K320" t="s">
        <v>63</v>
      </c>
    </row>
    <row r="321" spans="1:11" x14ac:dyDescent="0.25">
      <c r="A321" t="s">
        <v>998</v>
      </c>
      <c r="B321" t="s">
        <v>26</v>
      </c>
      <c r="C321" t="s">
        <v>999</v>
      </c>
      <c r="D321" t="s">
        <v>1000</v>
      </c>
      <c r="E321" s="2">
        <v>46047</v>
      </c>
      <c r="F321" s="2">
        <v>46077</v>
      </c>
      <c r="G321">
        <v>1263.06</v>
      </c>
      <c r="H321" t="s">
        <v>15</v>
      </c>
      <c r="I321" t="s">
        <v>29</v>
      </c>
      <c r="J321" t="s">
        <v>17</v>
      </c>
      <c r="K321" t="s">
        <v>63</v>
      </c>
    </row>
    <row r="322" spans="1:11" x14ac:dyDescent="0.25">
      <c r="A322" t="s">
        <v>1001</v>
      </c>
      <c r="B322" t="s">
        <v>112</v>
      </c>
      <c r="C322" t="s">
        <v>1002</v>
      </c>
      <c r="D322" t="s">
        <v>1003</v>
      </c>
      <c r="E322" s="2">
        <v>46023</v>
      </c>
      <c r="F322" s="2">
        <v>46038</v>
      </c>
      <c r="G322">
        <v>24796.94</v>
      </c>
      <c r="H322" t="s">
        <v>15</v>
      </c>
      <c r="I322" t="s">
        <v>16</v>
      </c>
      <c r="J322" t="s">
        <v>17</v>
      </c>
      <c r="K322" t="s">
        <v>63</v>
      </c>
    </row>
    <row r="323" spans="1:11" x14ac:dyDescent="0.25">
      <c r="A323" t="s">
        <v>1004</v>
      </c>
      <c r="B323" t="s">
        <v>102</v>
      </c>
      <c r="C323" t="s">
        <v>1005</v>
      </c>
      <c r="D323" t="s">
        <v>1006</v>
      </c>
      <c r="E323" s="2">
        <v>46207</v>
      </c>
      <c r="F323" s="2">
        <v>46252</v>
      </c>
      <c r="G323">
        <v>6349.69</v>
      </c>
      <c r="H323" t="s">
        <v>15</v>
      </c>
      <c r="I323" t="s">
        <v>29</v>
      </c>
      <c r="J323" t="s">
        <v>17</v>
      </c>
      <c r="K323" t="s">
        <v>24</v>
      </c>
    </row>
    <row r="324" spans="1:11" x14ac:dyDescent="0.25">
      <c r="A324" t="s">
        <v>1007</v>
      </c>
      <c r="B324" t="s">
        <v>20</v>
      </c>
      <c r="C324" t="s">
        <v>1008</v>
      </c>
      <c r="D324" t="s">
        <v>1009</v>
      </c>
      <c r="E324" s="2">
        <v>46242</v>
      </c>
      <c r="F324" s="2">
        <v>46257</v>
      </c>
      <c r="G324">
        <v>16428.47</v>
      </c>
      <c r="H324" t="s">
        <v>15</v>
      </c>
      <c r="I324" t="s">
        <v>16</v>
      </c>
      <c r="J324" t="s">
        <v>30</v>
      </c>
      <c r="K324" t="s">
        <v>18</v>
      </c>
    </row>
    <row r="325" spans="1:11" x14ac:dyDescent="0.25">
      <c r="A325" t="s">
        <v>1010</v>
      </c>
      <c r="B325" t="s">
        <v>36</v>
      </c>
      <c r="C325" t="s">
        <v>1011</v>
      </c>
      <c r="D325" t="s">
        <v>1012</v>
      </c>
      <c r="E325" s="2">
        <v>46250</v>
      </c>
      <c r="F325" s="2">
        <v>46280</v>
      </c>
      <c r="G325">
        <v>351.06</v>
      </c>
      <c r="H325" t="s">
        <v>15</v>
      </c>
      <c r="I325" t="s">
        <v>39</v>
      </c>
      <c r="J325" t="s">
        <v>17</v>
      </c>
      <c r="K325" t="s">
        <v>18</v>
      </c>
    </row>
    <row r="326" spans="1:11" x14ac:dyDescent="0.25">
      <c r="A326" t="s">
        <v>1013</v>
      </c>
      <c r="B326" t="s">
        <v>41</v>
      </c>
      <c r="C326" t="s">
        <v>1014</v>
      </c>
      <c r="D326" t="s">
        <v>1015</v>
      </c>
      <c r="E326" s="2">
        <v>46068</v>
      </c>
      <c r="F326" s="2">
        <v>46083</v>
      </c>
      <c r="G326">
        <v>18301.39</v>
      </c>
      <c r="H326" t="s">
        <v>15</v>
      </c>
      <c r="I326" t="s">
        <v>23</v>
      </c>
      <c r="J326" t="s">
        <v>30</v>
      </c>
      <c r="K326" t="s">
        <v>18</v>
      </c>
    </row>
    <row r="327" spans="1:11" x14ac:dyDescent="0.25">
      <c r="A327" t="s">
        <v>1016</v>
      </c>
      <c r="B327" t="s">
        <v>122</v>
      </c>
      <c r="C327" t="s">
        <v>1017</v>
      </c>
      <c r="D327" t="s">
        <v>1018</v>
      </c>
      <c r="E327" s="2">
        <v>46058</v>
      </c>
      <c r="F327" s="2">
        <v>46073</v>
      </c>
      <c r="G327">
        <v>47750.71</v>
      </c>
      <c r="H327" t="s">
        <v>15</v>
      </c>
      <c r="I327" t="s">
        <v>39</v>
      </c>
      <c r="J327" t="s">
        <v>17</v>
      </c>
      <c r="K327" t="s">
        <v>18</v>
      </c>
    </row>
    <row r="328" spans="1:11" x14ac:dyDescent="0.25">
      <c r="A328" t="s">
        <v>1019</v>
      </c>
      <c r="B328" t="s">
        <v>85</v>
      </c>
      <c r="C328" t="s">
        <v>1020</v>
      </c>
      <c r="D328" t="s">
        <v>1021</v>
      </c>
      <c r="E328" s="2">
        <v>46249</v>
      </c>
      <c r="F328" s="2">
        <v>46294</v>
      </c>
      <c r="G328">
        <v>21515.87</v>
      </c>
      <c r="H328" t="s">
        <v>15</v>
      </c>
      <c r="I328" t="s">
        <v>39</v>
      </c>
      <c r="J328" t="s">
        <v>17</v>
      </c>
      <c r="K328" t="s">
        <v>63</v>
      </c>
    </row>
    <row r="329" spans="1:11" x14ac:dyDescent="0.25">
      <c r="A329" t="s">
        <v>1022</v>
      </c>
      <c r="B329" t="s">
        <v>57</v>
      </c>
      <c r="C329" t="s">
        <v>1023</v>
      </c>
      <c r="D329" t="s">
        <v>1024</v>
      </c>
      <c r="E329" s="2">
        <v>46242</v>
      </c>
      <c r="F329" s="2">
        <v>46287</v>
      </c>
      <c r="G329">
        <v>7944.85</v>
      </c>
      <c r="H329" t="s">
        <v>15</v>
      </c>
      <c r="I329" t="s">
        <v>29</v>
      </c>
      <c r="J329" t="s">
        <v>17</v>
      </c>
      <c r="K329" t="s">
        <v>24</v>
      </c>
    </row>
    <row r="330" spans="1:11" x14ac:dyDescent="0.25">
      <c r="A330" t="s">
        <v>1025</v>
      </c>
      <c r="B330" t="s">
        <v>138</v>
      </c>
      <c r="C330" t="s">
        <v>1026</v>
      </c>
      <c r="D330" t="s">
        <v>1027</v>
      </c>
      <c r="E330" s="2">
        <v>46168</v>
      </c>
      <c r="F330" s="2">
        <v>46213</v>
      </c>
      <c r="G330">
        <v>19500.759999999998</v>
      </c>
      <c r="H330" t="s">
        <v>15</v>
      </c>
      <c r="I330" t="s">
        <v>16</v>
      </c>
      <c r="J330" t="s">
        <v>17</v>
      </c>
      <c r="K330" t="s">
        <v>18</v>
      </c>
    </row>
    <row r="331" spans="1:11" x14ac:dyDescent="0.25">
      <c r="A331" t="s">
        <v>1028</v>
      </c>
      <c r="B331" t="s">
        <v>41</v>
      </c>
      <c r="C331" t="s">
        <v>1029</v>
      </c>
      <c r="D331" t="s">
        <v>1030</v>
      </c>
      <c r="E331" s="2">
        <v>46174</v>
      </c>
      <c r="F331" s="2">
        <v>46189</v>
      </c>
      <c r="G331">
        <v>16196.7</v>
      </c>
      <c r="H331" t="s">
        <v>15</v>
      </c>
      <c r="I331" t="s">
        <v>16</v>
      </c>
      <c r="J331" t="s">
        <v>17</v>
      </c>
      <c r="K331" t="s">
        <v>24</v>
      </c>
    </row>
    <row r="332" spans="1:11" x14ac:dyDescent="0.25">
      <c r="A332" t="s">
        <v>1031</v>
      </c>
      <c r="B332" t="s">
        <v>138</v>
      </c>
      <c r="C332" t="s">
        <v>1032</v>
      </c>
      <c r="D332" t="s">
        <v>1033</v>
      </c>
      <c r="E332" s="2">
        <v>46059</v>
      </c>
      <c r="F332" s="2">
        <v>46104</v>
      </c>
      <c r="G332">
        <v>13263.77</v>
      </c>
      <c r="H332" t="s">
        <v>15</v>
      </c>
      <c r="I332" t="s">
        <v>29</v>
      </c>
      <c r="J332" t="s">
        <v>17</v>
      </c>
      <c r="K332" t="s">
        <v>24</v>
      </c>
    </row>
    <row r="333" spans="1:11" x14ac:dyDescent="0.25">
      <c r="A333" t="s">
        <v>1034</v>
      </c>
      <c r="B333" t="s">
        <v>85</v>
      </c>
      <c r="C333" t="s">
        <v>1035</v>
      </c>
      <c r="D333" t="s">
        <v>1036</v>
      </c>
      <c r="E333" s="2">
        <v>46210</v>
      </c>
      <c r="F333" s="2">
        <v>46255</v>
      </c>
      <c r="G333">
        <v>13713.34</v>
      </c>
      <c r="H333" t="s">
        <v>15</v>
      </c>
      <c r="I333" t="s">
        <v>29</v>
      </c>
      <c r="J333" t="s">
        <v>17</v>
      </c>
      <c r="K333" t="s">
        <v>18</v>
      </c>
    </row>
    <row r="334" spans="1:11" x14ac:dyDescent="0.25">
      <c r="A334" t="s">
        <v>1037</v>
      </c>
      <c r="B334" t="s">
        <v>49</v>
      </c>
      <c r="C334" t="s">
        <v>1038</v>
      </c>
      <c r="D334" t="s">
        <v>1039</v>
      </c>
      <c r="E334" s="2">
        <v>46133</v>
      </c>
      <c r="F334" s="2">
        <v>46163</v>
      </c>
      <c r="G334">
        <v>52625.15</v>
      </c>
      <c r="H334" t="s">
        <v>15</v>
      </c>
      <c r="I334" t="s">
        <v>16</v>
      </c>
      <c r="J334" t="s">
        <v>17</v>
      </c>
      <c r="K334" t="s">
        <v>63</v>
      </c>
    </row>
    <row r="335" spans="1:11" x14ac:dyDescent="0.25">
      <c r="A335" t="s">
        <v>1040</v>
      </c>
      <c r="B335" t="s">
        <v>85</v>
      </c>
      <c r="C335" t="s">
        <v>1041</v>
      </c>
      <c r="D335" t="s">
        <v>1042</v>
      </c>
      <c r="E335" s="2">
        <v>46228</v>
      </c>
      <c r="F335" s="2">
        <v>46273</v>
      </c>
      <c r="G335">
        <v>2170.8000000000002</v>
      </c>
      <c r="H335" t="s">
        <v>15</v>
      </c>
      <c r="I335" t="s">
        <v>16</v>
      </c>
      <c r="J335" t="s">
        <v>17</v>
      </c>
      <c r="K335" t="s">
        <v>24</v>
      </c>
    </row>
    <row r="336" spans="1:11" x14ac:dyDescent="0.25">
      <c r="A336" t="s">
        <v>1043</v>
      </c>
      <c r="B336" t="s">
        <v>53</v>
      </c>
      <c r="C336" t="s">
        <v>1044</v>
      </c>
      <c r="D336" t="s">
        <v>1045</v>
      </c>
      <c r="E336" s="2">
        <v>46102</v>
      </c>
      <c r="F336" s="2">
        <v>46132</v>
      </c>
      <c r="G336">
        <v>13465.39</v>
      </c>
      <c r="H336" t="s">
        <v>15</v>
      </c>
      <c r="I336" t="s">
        <v>39</v>
      </c>
      <c r="J336" t="s">
        <v>17</v>
      </c>
      <c r="K336" t="s">
        <v>18</v>
      </c>
    </row>
    <row r="337" spans="1:11" x14ac:dyDescent="0.25">
      <c r="A337" t="s">
        <v>1046</v>
      </c>
      <c r="B337" t="s">
        <v>163</v>
      </c>
      <c r="C337" t="s">
        <v>1047</v>
      </c>
      <c r="D337" t="s">
        <v>1048</v>
      </c>
      <c r="E337" s="2">
        <v>46246</v>
      </c>
      <c r="F337" s="2">
        <v>46261</v>
      </c>
      <c r="G337">
        <v>18281.36</v>
      </c>
      <c r="H337" t="s">
        <v>15</v>
      </c>
      <c r="I337" t="s">
        <v>29</v>
      </c>
      <c r="J337" t="s">
        <v>17</v>
      </c>
      <c r="K337" t="s">
        <v>63</v>
      </c>
    </row>
    <row r="338" spans="1:11" x14ac:dyDescent="0.25">
      <c r="A338" t="s">
        <v>1049</v>
      </c>
      <c r="B338" t="s">
        <v>138</v>
      </c>
      <c r="C338" t="s">
        <v>1050</v>
      </c>
      <c r="D338" t="s">
        <v>1051</v>
      </c>
      <c r="E338" s="2">
        <v>46051</v>
      </c>
      <c r="F338" s="2">
        <v>46096</v>
      </c>
      <c r="G338">
        <v>7815.14</v>
      </c>
      <c r="H338" t="s">
        <v>15</v>
      </c>
      <c r="I338" t="s">
        <v>29</v>
      </c>
      <c r="J338" t="s">
        <v>30</v>
      </c>
      <c r="K338" t="s">
        <v>18</v>
      </c>
    </row>
    <row r="339" spans="1:11" x14ac:dyDescent="0.25">
      <c r="A339" t="s">
        <v>1052</v>
      </c>
      <c r="B339" t="s">
        <v>12</v>
      </c>
      <c r="C339" t="s">
        <v>1053</v>
      </c>
      <c r="D339" t="s">
        <v>1054</v>
      </c>
      <c r="E339" s="2">
        <v>46277</v>
      </c>
      <c r="F339" s="2">
        <v>46292</v>
      </c>
      <c r="G339">
        <v>23831.040000000001</v>
      </c>
      <c r="H339" t="s">
        <v>15</v>
      </c>
      <c r="I339" t="s">
        <v>16</v>
      </c>
      <c r="J339" t="s">
        <v>17</v>
      </c>
      <c r="K339" t="s">
        <v>63</v>
      </c>
    </row>
    <row r="340" spans="1:11" x14ac:dyDescent="0.25">
      <c r="A340" t="s">
        <v>1055</v>
      </c>
      <c r="B340" t="s">
        <v>45</v>
      </c>
      <c r="C340" t="s">
        <v>1056</v>
      </c>
      <c r="D340" t="s">
        <v>1057</v>
      </c>
      <c r="E340" s="2">
        <v>46038</v>
      </c>
      <c r="F340" s="2">
        <v>46068</v>
      </c>
      <c r="G340">
        <v>8455.07</v>
      </c>
      <c r="H340" t="s">
        <v>15</v>
      </c>
      <c r="I340" t="s">
        <v>16</v>
      </c>
      <c r="J340" t="s">
        <v>17</v>
      </c>
      <c r="K340" t="s">
        <v>24</v>
      </c>
    </row>
    <row r="341" spans="1:11" x14ac:dyDescent="0.25">
      <c r="A341" t="s">
        <v>1058</v>
      </c>
      <c r="B341" t="s">
        <v>102</v>
      </c>
      <c r="C341" t="s">
        <v>1059</v>
      </c>
      <c r="D341" t="s">
        <v>1060</v>
      </c>
      <c r="E341" s="2">
        <v>46277</v>
      </c>
      <c r="F341" s="2">
        <v>46322</v>
      </c>
      <c r="G341">
        <v>11445.32</v>
      </c>
      <c r="H341" t="s">
        <v>15</v>
      </c>
      <c r="I341" t="s">
        <v>29</v>
      </c>
      <c r="J341" t="s">
        <v>17</v>
      </c>
      <c r="K341" t="s">
        <v>18</v>
      </c>
    </row>
    <row r="342" spans="1:11" x14ac:dyDescent="0.25">
      <c r="A342" t="s">
        <v>1061</v>
      </c>
      <c r="B342" t="s">
        <v>170</v>
      </c>
      <c r="C342" t="s">
        <v>1062</v>
      </c>
      <c r="D342" t="s">
        <v>1063</v>
      </c>
      <c r="E342" s="2">
        <v>46082</v>
      </c>
      <c r="F342" s="2">
        <v>46112</v>
      </c>
      <c r="G342">
        <v>5802.7</v>
      </c>
      <c r="H342" t="s">
        <v>15</v>
      </c>
      <c r="I342" t="s">
        <v>16</v>
      </c>
      <c r="J342" t="s">
        <v>17</v>
      </c>
      <c r="K342" t="s">
        <v>63</v>
      </c>
    </row>
    <row r="343" spans="1:11" x14ac:dyDescent="0.25">
      <c r="A343" t="s">
        <v>1064</v>
      </c>
      <c r="B343" t="s">
        <v>122</v>
      </c>
      <c r="C343" t="s">
        <v>1065</v>
      </c>
      <c r="D343" t="s">
        <v>1066</v>
      </c>
      <c r="E343" s="2">
        <v>46114</v>
      </c>
      <c r="F343" s="2">
        <v>46129</v>
      </c>
      <c r="G343">
        <v>23287.26</v>
      </c>
      <c r="H343" t="s">
        <v>15</v>
      </c>
      <c r="I343" t="s">
        <v>23</v>
      </c>
      <c r="J343" t="s">
        <v>17</v>
      </c>
      <c r="K343" t="s">
        <v>63</v>
      </c>
    </row>
    <row r="344" spans="1:11" x14ac:dyDescent="0.25">
      <c r="A344" t="s">
        <v>1067</v>
      </c>
      <c r="B344" t="s">
        <v>20</v>
      </c>
      <c r="C344" t="s">
        <v>1068</v>
      </c>
      <c r="D344" t="s">
        <v>1069</v>
      </c>
      <c r="E344" s="2">
        <v>46187</v>
      </c>
      <c r="F344" s="2">
        <v>46202</v>
      </c>
      <c r="G344">
        <v>6296.79</v>
      </c>
      <c r="H344" t="s">
        <v>15</v>
      </c>
      <c r="I344" t="s">
        <v>39</v>
      </c>
      <c r="J344" t="s">
        <v>17</v>
      </c>
      <c r="K344" t="s">
        <v>18</v>
      </c>
    </row>
    <row r="345" spans="1:11" x14ac:dyDescent="0.25">
      <c r="A345" t="s">
        <v>1070</v>
      </c>
      <c r="B345" t="s">
        <v>36</v>
      </c>
      <c r="C345" t="s">
        <v>1071</v>
      </c>
      <c r="D345" t="s">
        <v>1072</v>
      </c>
      <c r="E345" s="2">
        <v>46049</v>
      </c>
      <c r="F345" s="2">
        <v>46079</v>
      </c>
      <c r="G345">
        <v>4582.09</v>
      </c>
      <c r="H345" t="s">
        <v>15</v>
      </c>
      <c r="I345" t="s">
        <v>29</v>
      </c>
      <c r="J345" t="s">
        <v>17</v>
      </c>
      <c r="K345" t="s">
        <v>63</v>
      </c>
    </row>
    <row r="346" spans="1:11" x14ac:dyDescent="0.25">
      <c r="A346" t="s">
        <v>1073</v>
      </c>
      <c r="B346" t="s">
        <v>163</v>
      </c>
      <c r="C346" t="s">
        <v>1074</v>
      </c>
      <c r="D346" t="s">
        <v>1075</v>
      </c>
      <c r="E346" s="2">
        <v>46190</v>
      </c>
      <c r="F346" s="2">
        <v>46205</v>
      </c>
      <c r="G346">
        <v>2269.27</v>
      </c>
      <c r="H346" t="s">
        <v>15</v>
      </c>
      <c r="I346" t="s">
        <v>16</v>
      </c>
      <c r="J346" t="s">
        <v>17</v>
      </c>
      <c r="K346" t="s">
        <v>24</v>
      </c>
    </row>
    <row r="347" spans="1:11" x14ac:dyDescent="0.25">
      <c r="A347" t="s">
        <v>1076</v>
      </c>
      <c r="B347" t="s">
        <v>138</v>
      </c>
      <c r="C347" t="s">
        <v>1077</v>
      </c>
      <c r="D347" t="s">
        <v>1078</v>
      </c>
      <c r="E347" s="2">
        <v>46147</v>
      </c>
      <c r="F347" s="2">
        <v>46192</v>
      </c>
      <c r="G347">
        <v>11662.5</v>
      </c>
      <c r="H347" t="s">
        <v>15</v>
      </c>
      <c r="I347" t="s">
        <v>39</v>
      </c>
      <c r="J347" t="s">
        <v>17</v>
      </c>
      <c r="K347" t="s">
        <v>24</v>
      </c>
    </row>
    <row r="348" spans="1:11" x14ac:dyDescent="0.25">
      <c r="A348" t="s">
        <v>1079</v>
      </c>
      <c r="B348" t="s">
        <v>20</v>
      </c>
      <c r="C348" t="s">
        <v>1080</v>
      </c>
      <c r="D348" t="s">
        <v>1081</v>
      </c>
      <c r="E348" s="2">
        <v>46100</v>
      </c>
      <c r="F348" s="2">
        <v>46115</v>
      </c>
      <c r="G348">
        <v>278.68</v>
      </c>
      <c r="H348" t="s">
        <v>15</v>
      </c>
      <c r="I348" t="s">
        <v>16</v>
      </c>
      <c r="J348" t="s">
        <v>17</v>
      </c>
      <c r="K348" t="s">
        <v>18</v>
      </c>
    </row>
    <row r="349" spans="1:11" x14ac:dyDescent="0.25">
      <c r="A349" t="s">
        <v>1082</v>
      </c>
      <c r="B349" t="s">
        <v>26</v>
      </c>
      <c r="C349" t="s">
        <v>1083</v>
      </c>
      <c r="D349" t="s">
        <v>1084</v>
      </c>
      <c r="E349" s="2">
        <v>46023</v>
      </c>
      <c r="F349" s="2">
        <v>46053</v>
      </c>
      <c r="G349">
        <v>19002.16</v>
      </c>
      <c r="H349" t="s">
        <v>15</v>
      </c>
      <c r="I349" t="s">
        <v>16</v>
      </c>
      <c r="J349" t="s">
        <v>17</v>
      </c>
      <c r="K349" t="s">
        <v>63</v>
      </c>
    </row>
    <row r="350" spans="1:11" x14ac:dyDescent="0.25">
      <c r="A350" t="s">
        <v>1085</v>
      </c>
      <c r="B350" t="s">
        <v>75</v>
      </c>
      <c r="C350" t="s">
        <v>1086</v>
      </c>
      <c r="D350" t="s">
        <v>1087</v>
      </c>
      <c r="E350" s="2">
        <v>46053</v>
      </c>
      <c r="F350" s="2">
        <v>46068</v>
      </c>
      <c r="G350">
        <v>24317.27</v>
      </c>
      <c r="H350" t="s">
        <v>15</v>
      </c>
      <c r="I350" t="s">
        <v>29</v>
      </c>
      <c r="J350" t="s">
        <v>17</v>
      </c>
      <c r="K350" t="s">
        <v>24</v>
      </c>
    </row>
    <row r="351" spans="1:11" x14ac:dyDescent="0.25">
      <c r="A351" t="s">
        <v>1088</v>
      </c>
      <c r="B351" t="s">
        <v>85</v>
      </c>
      <c r="C351" t="s">
        <v>1089</v>
      </c>
      <c r="D351" t="s">
        <v>1090</v>
      </c>
      <c r="E351" s="2">
        <v>46213</v>
      </c>
      <c r="F351" s="2">
        <v>46258</v>
      </c>
      <c r="G351">
        <v>11526.44</v>
      </c>
      <c r="H351" t="s">
        <v>15</v>
      </c>
      <c r="I351" t="s">
        <v>16</v>
      </c>
      <c r="J351" t="s">
        <v>17</v>
      </c>
      <c r="K351" t="s">
        <v>63</v>
      </c>
    </row>
    <row r="352" spans="1:11" x14ac:dyDescent="0.25">
      <c r="A352" t="s">
        <v>1091</v>
      </c>
      <c r="B352" t="s">
        <v>102</v>
      </c>
      <c r="C352" t="s">
        <v>1092</v>
      </c>
      <c r="D352" t="s">
        <v>1093</v>
      </c>
      <c r="E352" s="2">
        <v>46054</v>
      </c>
      <c r="F352" s="2">
        <v>46099</v>
      </c>
      <c r="G352">
        <v>10942.37</v>
      </c>
      <c r="H352" t="s">
        <v>15</v>
      </c>
      <c r="I352" t="s">
        <v>16</v>
      </c>
      <c r="J352" t="s">
        <v>17</v>
      </c>
      <c r="K352" t="s">
        <v>63</v>
      </c>
    </row>
    <row r="353" spans="1:11" x14ac:dyDescent="0.25">
      <c r="A353" t="s">
        <v>1094</v>
      </c>
      <c r="B353" t="s">
        <v>26</v>
      </c>
      <c r="C353" t="s">
        <v>1095</v>
      </c>
      <c r="D353" t="s">
        <v>1096</v>
      </c>
      <c r="E353" s="2">
        <v>46185</v>
      </c>
      <c r="F353" s="2">
        <v>46215</v>
      </c>
      <c r="G353">
        <v>11384.62</v>
      </c>
      <c r="H353" t="s">
        <v>15</v>
      </c>
      <c r="I353" t="s">
        <v>39</v>
      </c>
      <c r="J353" t="s">
        <v>17</v>
      </c>
      <c r="K353" t="s">
        <v>18</v>
      </c>
    </row>
    <row r="354" spans="1:11" x14ac:dyDescent="0.25">
      <c r="A354" t="s">
        <v>1097</v>
      </c>
      <c r="B354" t="s">
        <v>45</v>
      </c>
      <c r="C354" t="s">
        <v>1098</v>
      </c>
      <c r="D354" t="s">
        <v>1099</v>
      </c>
      <c r="E354" s="2">
        <v>46107</v>
      </c>
      <c r="F354" s="2">
        <v>46137</v>
      </c>
      <c r="G354">
        <v>11305.22</v>
      </c>
      <c r="H354" t="s">
        <v>15</v>
      </c>
      <c r="I354" t="s">
        <v>16</v>
      </c>
      <c r="J354" t="s">
        <v>17</v>
      </c>
      <c r="K354" t="s">
        <v>63</v>
      </c>
    </row>
    <row r="355" spans="1:11" x14ac:dyDescent="0.25">
      <c r="A355" t="s">
        <v>1100</v>
      </c>
      <c r="B355" t="s">
        <v>163</v>
      </c>
      <c r="C355" t="s">
        <v>1101</v>
      </c>
      <c r="D355" t="s">
        <v>1102</v>
      </c>
      <c r="E355" s="2">
        <v>46260</v>
      </c>
      <c r="F355" s="2">
        <v>46275</v>
      </c>
      <c r="G355">
        <v>6713.4</v>
      </c>
      <c r="H355" t="s">
        <v>15</v>
      </c>
      <c r="I355" t="s">
        <v>39</v>
      </c>
      <c r="J355" t="s">
        <v>17</v>
      </c>
      <c r="K355" t="s">
        <v>24</v>
      </c>
    </row>
    <row r="356" spans="1:11" x14ac:dyDescent="0.25">
      <c r="A356" t="s">
        <v>1103</v>
      </c>
      <c r="B356" t="s">
        <v>138</v>
      </c>
      <c r="C356" t="s">
        <v>1104</v>
      </c>
      <c r="D356" t="s">
        <v>1105</v>
      </c>
      <c r="E356" s="2">
        <v>46043</v>
      </c>
      <c r="F356" s="2">
        <v>46088</v>
      </c>
      <c r="G356">
        <v>5469.72</v>
      </c>
      <c r="H356" t="s">
        <v>15</v>
      </c>
      <c r="I356" t="s">
        <v>39</v>
      </c>
      <c r="J356" t="s">
        <v>17</v>
      </c>
      <c r="K356" t="s">
        <v>63</v>
      </c>
    </row>
    <row r="357" spans="1:11" x14ac:dyDescent="0.25">
      <c r="A357" t="s">
        <v>1106</v>
      </c>
      <c r="B357" t="s">
        <v>36</v>
      </c>
      <c r="C357" t="s">
        <v>1107</v>
      </c>
      <c r="D357" t="s">
        <v>1108</v>
      </c>
      <c r="E357" s="2">
        <v>46048</v>
      </c>
      <c r="F357" s="2">
        <v>46078</v>
      </c>
      <c r="G357">
        <v>16968.32</v>
      </c>
      <c r="H357" t="s">
        <v>15</v>
      </c>
      <c r="I357" t="s">
        <v>23</v>
      </c>
      <c r="J357" t="s">
        <v>17</v>
      </c>
      <c r="K357" t="s">
        <v>24</v>
      </c>
    </row>
    <row r="358" spans="1:11" x14ac:dyDescent="0.25">
      <c r="A358" t="s">
        <v>1109</v>
      </c>
      <c r="B358" t="s">
        <v>32</v>
      </c>
      <c r="C358" t="s">
        <v>1110</v>
      </c>
      <c r="D358" t="s">
        <v>1111</v>
      </c>
      <c r="E358" s="2">
        <v>46150</v>
      </c>
      <c r="F358" s="2">
        <v>46180</v>
      </c>
      <c r="G358">
        <v>2476.7600000000002</v>
      </c>
      <c r="H358" t="s">
        <v>15</v>
      </c>
      <c r="I358" t="s">
        <v>29</v>
      </c>
      <c r="J358" t="s">
        <v>17</v>
      </c>
      <c r="K358" t="s">
        <v>18</v>
      </c>
    </row>
    <row r="359" spans="1:11" x14ac:dyDescent="0.25">
      <c r="A359" t="s">
        <v>1112</v>
      </c>
      <c r="B359" t="s">
        <v>122</v>
      </c>
      <c r="C359" t="s">
        <v>1113</v>
      </c>
      <c r="D359" t="s">
        <v>1114</v>
      </c>
      <c r="E359" s="2">
        <v>46124</v>
      </c>
      <c r="F359" s="2">
        <v>46139</v>
      </c>
      <c r="G359">
        <v>20612.990000000002</v>
      </c>
      <c r="H359" t="s">
        <v>15</v>
      </c>
      <c r="I359" t="s">
        <v>29</v>
      </c>
      <c r="J359" t="s">
        <v>17</v>
      </c>
      <c r="K359" t="s">
        <v>18</v>
      </c>
    </row>
    <row r="360" spans="1:11" x14ac:dyDescent="0.25">
      <c r="A360" t="s">
        <v>1115</v>
      </c>
      <c r="B360" t="s">
        <v>71</v>
      </c>
      <c r="C360" t="s">
        <v>1116</v>
      </c>
      <c r="D360" t="s">
        <v>1117</v>
      </c>
      <c r="E360" s="2">
        <v>46056</v>
      </c>
      <c r="F360" s="2">
        <v>46071</v>
      </c>
      <c r="G360">
        <v>5040.03</v>
      </c>
      <c r="H360" t="s">
        <v>15</v>
      </c>
      <c r="I360" t="s">
        <v>23</v>
      </c>
      <c r="J360" t="s">
        <v>17</v>
      </c>
      <c r="K360" t="s">
        <v>63</v>
      </c>
    </row>
    <row r="361" spans="1:11" x14ac:dyDescent="0.25">
      <c r="A361" t="s">
        <v>1118</v>
      </c>
      <c r="B361" t="s">
        <v>45</v>
      </c>
      <c r="C361" t="s">
        <v>1119</v>
      </c>
      <c r="D361" t="s">
        <v>1120</v>
      </c>
      <c r="E361" s="2">
        <v>46044</v>
      </c>
      <c r="F361" s="2">
        <v>46074</v>
      </c>
      <c r="G361">
        <v>57344.61</v>
      </c>
      <c r="H361" t="s">
        <v>15</v>
      </c>
      <c r="I361" t="s">
        <v>39</v>
      </c>
      <c r="J361" t="s">
        <v>17</v>
      </c>
      <c r="K361" t="s">
        <v>63</v>
      </c>
    </row>
    <row r="362" spans="1:11" x14ac:dyDescent="0.25">
      <c r="A362" t="s">
        <v>1121</v>
      </c>
      <c r="B362" t="s">
        <v>85</v>
      </c>
      <c r="C362" t="s">
        <v>1122</v>
      </c>
      <c r="D362" t="s">
        <v>1123</v>
      </c>
      <c r="E362" s="2">
        <v>46111</v>
      </c>
      <c r="F362" s="2">
        <v>46156</v>
      </c>
      <c r="G362">
        <v>8926.11</v>
      </c>
      <c r="H362" t="s">
        <v>15</v>
      </c>
      <c r="I362" t="s">
        <v>16</v>
      </c>
      <c r="J362" t="s">
        <v>17</v>
      </c>
      <c r="K362" t="s">
        <v>24</v>
      </c>
    </row>
    <row r="363" spans="1:11" x14ac:dyDescent="0.25">
      <c r="A363" t="s">
        <v>1124</v>
      </c>
      <c r="B363" t="s">
        <v>138</v>
      </c>
      <c r="C363" t="s">
        <v>1125</v>
      </c>
      <c r="D363" t="s">
        <v>1126</v>
      </c>
      <c r="E363" s="2">
        <v>46148</v>
      </c>
      <c r="F363" s="2">
        <v>46193</v>
      </c>
      <c r="G363">
        <v>16224.29</v>
      </c>
      <c r="H363" t="s">
        <v>15</v>
      </c>
      <c r="I363" t="s">
        <v>29</v>
      </c>
      <c r="J363" t="s">
        <v>17</v>
      </c>
      <c r="K363" t="s">
        <v>18</v>
      </c>
    </row>
    <row r="364" spans="1:11" x14ac:dyDescent="0.25">
      <c r="A364" t="s">
        <v>1127</v>
      </c>
      <c r="B364" t="s">
        <v>85</v>
      </c>
      <c r="C364" t="s">
        <v>1128</v>
      </c>
      <c r="D364" t="s">
        <v>1129</v>
      </c>
      <c r="E364" s="2">
        <v>46125</v>
      </c>
      <c r="F364" s="2">
        <v>46170</v>
      </c>
      <c r="G364">
        <v>16109.19</v>
      </c>
      <c r="H364" t="s">
        <v>15</v>
      </c>
      <c r="I364" t="s">
        <v>23</v>
      </c>
      <c r="J364" t="s">
        <v>17</v>
      </c>
      <c r="K364" t="s">
        <v>18</v>
      </c>
    </row>
    <row r="365" spans="1:11" x14ac:dyDescent="0.25">
      <c r="A365" t="s">
        <v>1130</v>
      </c>
      <c r="B365" t="s">
        <v>41</v>
      </c>
      <c r="C365" t="s">
        <v>1131</v>
      </c>
      <c r="D365" t="s">
        <v>1132</v>
      </c>
      <c r="E365" s="2">
        <v>46206</v>
      </c>
      <c r="F365" s="2">
        <v>46221</v>
      </c>
      <c r="G365">
        <v>12054.55</v>
      </c>
      <c r="H365" t="s">
        <v>15</v>
      </c>
      <c r="I365" t="s">
        <v>16</v>
      </c>
      <c r="J365" t="s">
        <v>17</v>
      </c>
      <c r="K365" t="s">
        <v>18</v>
      </c>
    </row>
    <row r="366" spans="1:11" x14ac:dyDescent="0.25">
      <c r="A366" t="s">
        <v>1133</v>
      </c>
      <c r="B366" t="s">
        <v>71</v>
      </c>
      <c r="C366" t="s">
        <v>1134</v>
      </c>
      <c r="D366" t="s">
        <v>1135</v>
      </c>
      <c r="E366" s="2">
        <v>46186</v>
      </c>
      <c r="F366" s="2">
        <v>46201</v>
      </c>
      <c r="G366">
        <v>53374.13</v>
      </c>
      <c r="H366" t="s">
        <v>15</v>
      </c>
      <c r="I366" t="s">
        <v>39</v>
      </c>
      <c r="J366" t="s">
        <v>17</v>
      </c>
      <c r="K366" t="s">
        <v>63</v>
      </c>
    </row>
    <row r="367" spans="1:11" x14ac:dyDescent="0.25">
      <c r="A367" t="s">
        <v>1136</v>
      </c>
      <c r="B367" t="s">
        <v>170</v>
      </c>
      <c r="C367" t="s">
        <v>1137</v>
      </c>
      <c r="D367" t="s">
        <v>1138</v>
      </c>
      <c r="E367" s="2">
        <v>46142</v>
      </c>
      <c r="F367" s="2">
        <v>46172</v>
      </c>
      <c r="G367">
        <v>24352.62</v>
      </c>
      <c r="H367" t="s">
        <v>15</v>
      </c>
      <c r="I367" t="s">
        <v>16</v>
      </c>
      <c r="J367" t="s">
        <v>17</v>
      </c>
      <c r="K367" t="s">
        <v>24</v>
      </c>
    </row>
    <row r="368" spans="1:11" x14ac:dyDescent="0.25">
      <c r="A368" t="s">
        <v>1139</v>
      </c>
      <c r="B368" t="s">
        <v>89</v>
      </c>
      <c r="C368" t="s">
        <v>1140</v>
      </c>
      <c r="D368" t="s">
        <v>1141</v>
      </c>
      <c r="E368" s="2">
        <v>46135</v>
      </c>
      <c r="F368" s="2">
        <v>46150</v>
      </c>
      <c r="G368">
        <v>14443.22</v>
      </c>
      <c r="H368" t="s">
        <v>15</v>
      </c>
      <c r="I368" t="s">
        <v>23</v>
      </c>
      <c r="J368" t="s">
        <v>17</v>
      </c>
      <c r="K368" t="s">
        <v>18</v>
      </c>
    </row>
    <row r="369" spans="1:11" x14ac:dyDescent="0.25">
      <c r="A369" t="s">
        <v>1142</v>
      </c>
      <c r="B369" t="s">
        <v>12</v>
      </c>
      <c r="C369" t="s">
        <v>1143</v>
      </c>
      <c r="D369" t="s">
        <v>1144</v>
      </c>
      <c r="E369" s="2">
        <v>46144</v>
      </c>
      <c r="F369" s="2">
        <v>46159</v>
      </c>
      <c r="G369">
        <v>14861.89</v>
      </c>
      <c r="H369" t="s">
        <v>15</v>
      </c>
      <c r="I369" t="s">
        <v>29</v>
      </c>
      <c r="J369" t="s">
        <v>17</v>
      </c>
      <c r="K369" t="s">
        <v>24</v>
      </c>
    </row>
    <row r="370" spans="1:11" x14ac:dyDescent="0.25">
      <c r="A370" t="s">
        <v>1145</v>
      </c>
      <c r="B370" t="s">
        <v>170</v>
      </c>
      <c r="C370" t="s">
        <v>1146</v>
      </c>
      <c r="D370" t="s">
        <v>1147</v>
      </c>
      <c r="E370" s="2">
        <v>46095</v>
      </c>
      <c r="F370" s="2">
        <v>46125</v>
      </c>
      <c r="G370">
        <v>14130.15</v>
      </c>
      <c r="H370" t="s">
        <v>15</v>
      </c>
      <c r="I370" t="s">
        <v>16</v>
      </c>
      <c r="J370" t="s">
        <v>17</v>
      </c>
      <c r="K370" t="s">
        <v>18</v>
      </c>
    </row>
    <row r="371" spans="1:11" x14ac:dyDescent="0.25">
      <c r="A371" t="s">
        <v>1148</v>
      </c>
      <c r="B371" t="s">
        <v>89</v>
      </c>
      <c r="C371" t="s">
        <v>1149</v>
      </c>
      <c r="D371" t="s">
        <v>1150</v>
      </c>
      <c r="E371" s="2">
        <v>46142</v>
      </c>
      <c r="F371" s="2">
        <v>46157</v>
      </c>
      <c r="G371">
        <v>41729.61</v>
      </c>
      <c r="H371" t="s">
        <v>15</v>
      </c>
      <c r="I371" t="s">
        <v>16</v>
      </c>
      <c r="J371" t="s">
        <v>30</v>
      </c>
      <c r="K371" t="s">
        <v>24</v>
      </c>
    </row>
    <row r="372" spans="1:11" x14ac:dyDescent="0.25">
      <c r="A372" t="s">
        <v>1151</v>
      </c>
      <c r="B372" t="s">
        <v>12</v>
      </c>
      <c r="C372" t="s">
        <v>1152</v>
      </c>
      <c r="D372" t="s">
        <v>1153</v>
      </c>
      <c r="E372" s="2">
        <v>46188</v>
      </c>
      <c r="F372" s="2">
        <v>46203</v>
      </c>
      <c r="G372">
        <v>1601.75</v>
      </c>
      <c r="H372" t="s">
        <v>15</v>
      </c>
      <c r="I372" t="s">
        <v>29</v>
      </c>
      <c r="J372" t="s">
        <v>17</v>
      </c>
      <c r="K372" t="s">
        <v>63</v>
      </c>
    </row>
    <row r="373" spans="1:11" x14ac:dyDescent="0.25">
      <c r="A373" t="s">
        <v>1154</v>
      </c>
      <c r="B373" t="s">
        <v>102</v>
      </c>
      <c r="C373" t="s">
        <v>1155</v>
      </c>
      <c r="D373" t="s">
        <v>1156</v>
      </c>
      <c r="E373" s="2">
        <v>46214</v>
      </c>
      <c r="F373" s="2">
        <v>46259</v>
      </c>
      <c r="G373">
        <v>17648.91</v>
      </c>
      <c r="H373" t="s">
        <v>15</v>
      </c>
      <c r="I373" t="s">
        <v>16</v>
      </c>
      <c r="J373" t="s">
        <v>17</v>
      </c>
      <c r="K373" t="s">
        <v>18</v>
      </c>
    </row>
    <row r="374" spans="1:11" x14ac:dyDescent="0.25">
      <c r="A374" t="s">
        <v>1157</v>
      </c>
      <c r="B374" t="s">
        <v>85</v>
      </c>
      <c r="C374" t="s">
        <v>1158</v>
      </c>
      <c r="D374" t="s">
        <v>1159</v>
      </c>
      <c r="E374" s="2">
        <v>46272</v>
      </c>
      <c r="F374" s="2">
        <v>46317</v>
      </c>
      <c r="G374">
        <v>16271.61</v>
      </c>
      <c r="H374" t="s">
        <v>15</v>
      </c>
      <c r="I374" t="s">
        <v>23</v>
      </c>
      <c r="J374" t="s">
        <v>17</v>
      </c>
      <c r="K374" t="s">
        <v>63</v>
      </c>
    </row>
    <row r="375" spans="1:11" x14ac:dyDescent="0.25">
      <c r="A375" t="s">
        <v>1160</v>
      </c>
      <c r="B375" t="s">
        <v>20</v>
      </c>
      <c r="C375" t="s">
        <v>1161</v>
      </c>
      <c r="D375" t="s">
        <v>1162</v>
      </c>
      <c r="E375" s="2">
        <v>46112</v>
      </c>
      <c r="F375" s="2">
        <v>46127</v>
      </c>
      <c r="G375">
        <v>9534.2000000000007</v>
      </c>
      <c r="H375" t="s">
        <v>15</v>
      </c>
      <c r="I375" t="s">
        <v>29</v>
      </c>
      <c r="J375" t="s">
        <v>30</v>
      </c>
      <c r="K375" t="s">
        <v>24</v>
      </c>
    </row>
    <row r="376" spans="1:11" x14ac:dyDescent="0.25">
      <c r="A376" t="s">
        <v>1163</v>
      </c>
      <c r="B376" t="s">
        <v>170</v>
      </c>
      <c r="C376" t="s">
        <v>1164</v>
      </c>
      <c r="D376" t="s">
        <v>1165</v>
      </c>
      <c r="E376" s="2">
        <v>46223</v>
      </c>
      <c r="F376" s="2">
        <v>46253</v>
      </c>
      <c r="G376">
        <v>21286.83</v>
      </c>
      <c r="H376" t="s">
        <v>15</v>
      </c>
      <c r="I376" t="s">
        <v>29</v>
      </c>
      <c r="J376" t="s">
        <v>17</v>
      </c>
      <c r="K376" t="s">
        <v>24</v>
      </c>
    </row>
    <row r="377" spans="1:11" x14ac:dyDescent="0.25">
      <c r="A377" t="s">
        <v>1166</v>
      </c>
      <c r="B377" t="s">
        <v>20</v>
      </c>
      <c r="C377" t="s">
        <v>1167</v>
      </c>
      <c r="D377" t="s">
        <v>1168</v>
      </c>
      <c r="E377" s="2">
        <v>46076</v>
      </c>
      <c r="F377" s="2">
        <v>46091</v>
      </c>
      <c r="G377">
        <v>23424.79</v>
      </c>
      <c r="H377" t="s">
        <v>15</v>
      </c>
      <c r="I377" t="s">
        <v>16</v>
      </c>
      <c r="J377" t="s">
        <v>17</v>
      </c>
      <c r="K377" t="s">
        <v>24</v>
      </c>
    </row>
    <row r="378" spans="1:11" x14ac:dyDescent="0.25">
      <c r="A378" t="s">
        <v>1169</v>
      </c>
      <c r="B378" t="s">
        <v>102</v>
      </c>
      <c r="C378" t="s">
        <v>1170</v>
      </c>
      <c r="D378" t="s">
        <v>1171</v>
      </c>
      <c r="E378" s="2">
        <v>46194</v>
      </c>
      <c r="F378" s="2">
        <v>46239</v>
      </c>
      <c r="G378">
        <v>11232.15</v>
      </c>
      <c r="H378" t="s">
        <v>15</v>
      </c>
      <c r="I378" t="s">
        <v>29</v>
      </c>
      <c r="J378" t="s">
        <v>17</v>
      </c>
      <c r="K378" t="s">
        <v>18</v>
      </c>
    </row>
    <row r="379" spans="1:11" x14ac:dyDescent="0.25">
      <c r="A379" t="s">
        <v>1172</v>
      </c>
      <c r="B379" t="s">
        <v>71</v>
      </c>
      <c r="C379" t="s">
        <v>1173</v>
      </c>
      <c r="D379" t="s">
        <v>1174</v>
      </c>
      <c r="E379" s="2">
        <v>46047</v>
      </c>
      <c r="F379" s="2">
        <v>46062</v>
      </c>
      <c r="G379">
        <v>9722.11</v>
      </c>
      <c r="H379" t="s">
        <v>15</v>
      </c>
      <c r="I379" t="s">
        <v>16</v>
      </c>
      <c r="J379" t="s">
        <v>17</v>
      </c>
      <c r="K379" t="s">
        <v>24</v>
      </c>
    </row>
    <row r="380" spans="1:11" x14ac:dyDescent="0.25">
      <c r="A380" t="s">
        <v>1175</v>
      </c>
      <c r="B380" t="s">
        <v>41</v>
      </c>
      <c r="C380" t="s">
        <v>1176</v>
      </c>
      <c r="D380" t="s">
        <v>1177</v>
      </c>
      <c r="E380" s="2">
        <v>46074</v>
      </c>
      <c r="F380" s="2">
        <v>46089</v>
      </c>
      <c r="G380">
        <v>20740.72</v>
      </c>
      <c r="H380" t="s">
        <v>15</v>
      </c>
      <c r="I380" t="s">
        <v>39</v>
      </c>
      <c r="J380" t="s">
        <v>17</v>
      </c>
      <c r="K380" t="s">
        <v>63</v>
      </c>
    </row>
    <row r="381" spans="1:11" x14ac:dyDescent="0.25">
      <c r="A381" t="s">
        <v>1178</v>
      </c>
      <c r="B381" t="s">
        <v>102</v>
      </c>
      <c r="C381" t="s">
        <v>1179</v>
      </c>
      <c r="D381" t="s">
        <v>1180</v>
      </c>
      <c r="E381" s="2">
        <v>46040</v>
      </c>
      <c r="F381" s="2">
        <v>46085</v>
      </c>
      <c r="G381">
        <v>7457.33</v>
      </c>
      <c r="H381" t="s">
        <v>15</v>
      </c>
      <c r="I381" t="s">
        <v>16</v>
      </c>
      <c r="J381" t="s">
        <v>17</v>
      </c>
      <c r="K381" t="s">
        <v>18</v>
      </c>
    </row>
    <row r="382" spans="1:11" x14ac:dyDescent="0.25">
      <c r="A382" t="s">
        <v>1181</v>
      </c>
      <c r="B382" t="s">
        <v>102</v>
      </c>
      <c r="C382" t="s">
        <v>1182</v>
      </c>
      <c r="D382" t="s">
        <v>1183</v>
      </c>
      <c r="E382" s="2">
        <v>46303</v>
      </c>
      <c r="F382" s="2">
        <v>46348</v>
      </c>
      <c r="G382">
        <v>23552.83</v>
      </c>
      <c r="H382" t="s">
        <v>15</v>
      </c>
      <c r="I382" t="s">
        <v>23</v>
      </c>
      <c r="J382" t="s">
        <v>17</v>
      </c>
      <c r="K382" t="s">
        <v>24</v>
      </c>
    </row>
    <row r="383" spans="1:11" x14ac:dyDescent="0.25">
      <c r="A383" t="s">
        <v>1184</v>
      </c>
      <c r="B383" t="s">
        <v>71</v>
      </c>
      <c r="C383" t="s">
        <v>1185</v>
      </c>
      <c r="D383" t="s">
        <v>1186</v>
      </c>
      <c r="E383" s="2">
        <v>46243</v>
      </c>
      <c r="F383" s="2">
        <v>46258</v>
      </c>
      <c r="G383">
        <v>23567.96</v>
      </c>
      <c r="H383" t="s">
        <v>15</v>
      </c>
      <c r="I383" t="s">
        <v>29</v>
      </c>
      <c r="J383" t="s">
        <v>17</v>
      </c>
      <c r="K383" t="s">
        <v>18</v>
      </c>
    </row>
    <row r="384" spans="1:11" x14ac:dyDescent="0.25">
      <c r="A384" t="s">
        <v>1187</v>
      </c>
      <c r="B384" t="s">
        <v>85</v>
      </c>
      <c r="C384" t="s">
        <v>1188</v>
      </c>
      <c r="D384" t="s">
        <v>1189</v>
      </c>
      <c r="E384" s="2">
        <v>46306</v>
      </c>
      <c r="F384" s="2">
        <v>46351</v>
      </c>
      <c r="G384">
        <v>18084.310000000001</v>
      </c>
      <c r="H384" t="s">
        <v>15</v>
      </c>
      <c r="I384" t="s">
        <v>16</v>
      </c>
      <c r="J384" t="s">
        <v>17</v>
      </c>
      <c r="K384" t="s">
        <v>18</v>
      </c>
    </row>
    <row r="385" spans="1:11" x14ac:dyDescent="0.25">
      <c r="A385" t="s">
        <v>1190</v>
      </c>
      <c r="B385" t="s">
        <v>41</v>
      </c>
      <c r="C385" t="s">
        <v>1191</v>
      </c>
      <c r="D385" t="s">
        <v>1192</v>
      </c>
      <c r="E385" s="2">
        <v>46304</v>
      </c>
      <c r="F385" s="2">
        <v>46319</v>
      </c>
      <c r="G385">
        <v>21015.58</v>
      </c>
      <c r="H385" t="s">
        <v>15</v>
      </c>
      <c r="I385" t="s">
        <v>16</v>
      </c>
      <c r="J385" t="s">
        <v>17</v>
      </c>
      <c r="K385" t="s">
        <v>24</v>
      </c>
    </row>
    <row r="386" spans="1:11" x14ac:dyDescent="0.25">
      <c r="A386" t="s">
        <v>1193</v>
      </c>
      <c r="B386" t="s">
        <v>138</v>
      </c>
      <c r="C386" t="s">
        <v>1194</v>
      </c>
      <c r="D386" t="s">
        <v>1195</v>
      </c>
      <c r="E386" s="2">
        <v>46268</v>
      </c>
      <c r="F386" s="2">
        <v>46313</v>
      </c>
      <c r="G386">
        <v>30979.13</v>
      </c>
      <c r="H386" t="s">
        <v>15</v>
      </c>
      <c r="I386" t="s">
        <v>16</v>
      </c>
      <c r="J386" t="s">
        <v>30</v>
      </c>
      <c r="K386" t="s">
        <v>63</v>
      </c>
    </row>
    <row r="387" spans="1:11" x14ac:dyDescent="0.25">
      <c r="A387" t="s">
        <v>1196</v>
      </c>
      <c r="B387" t="s">
        <v>75</v>
      </c>
      <c r="C387" t="s">
        <v>1197</v>
      </c>
      <c r="D387" t="s">
        <v>1198</v>
      </c>
      <c r="E387" s="2">
        <v>46273</v>
      </c>
      <c r="F387" s="2">
        <v>46288</v>
      </c>
      <c r="G387">
        <v>22384.55</v>
      </c>
      <c r="H387" t="s">
        <v>15</v>
      </c>
      <c r="I387" t="s">
        <v>16</v>
      </c>
      <c r="J387" t="s">
        <v>17</v>
      </c>
      <c r="K387" t="s">
        <v>63</v>
      </c>
    </row>
    <row r="388" spans="1:11" x14ac:dyDescent="0.25">
      <c r="A388" t="s">
        <v>1199</v>
      </c>
      <c r="B388" t="s">
        <v>57</v>
      </c>
      <c r="C388" t="s">
        <v>1200</v>
      </c>
      <c r="D388" t="s">
        <v>1201</v>
      </c>
      <c r="E388" s="2">
        <v>46118</v>
      </c>
      <c r="F388" s="2">
        <v>46163</v>
      </c>
      <c r="G388">
        <v>11210.89</v>
      </c>
      <c r="H388" t="s">
        <v>15</v>
      </c>
      <c r="I388" t="s">
        <v>16</v>
      </c>
      <c r="J388" t="s">
        <v>17</v>
      </c>
      <c r="K388" t="s">
        <v>18</v>
      </c>
    </row>
    <row r="389" spans="1:11" x14ac:dyDescent="0.25">
      <c r="A389" t="s">
        <v>1202</v>
      </c>
      <c r="B389" t="s">
        <v>122</v>
      </c>
      <c r="C389" t="s">
        <v>1203</v>
      </c>
      <c r="D389" t="s">
        <v>1204</v>
      </c>
      <c r="E389" s="2">
        <v>46072</v>
      </c>
      <c r="F389" s="2">
        <v>46087</v>
      </c>
      <c r="G389">
        <v>2252.4</v>
      </c>
      <c r="H389" t="s">
        <v>15</v>
      </c>
      <c r="I389" t="s">
        <v>23</v>
      </c>
      <c r="J389" t="s">
        <v>17</v>
      </c>
      <c r="K389" t="s">
        <v>24</v>
      </c>
    </row>
    <row r="390" spans="1:11" x14ac:dyDescent="0.25">
      <c r="A390" t="s">
        <v>1205</v>
      </c>
      <c r="B390" t="s">
        <v>89</v>
      </c>
      <c r="C390" t="s">
        <v>1206</v>
      </c>
      <c r="D390" t="s">
        <v>1207</v>
      </c>
      <c r="E390" s="2">
        <v>46221</v>
      </c>
      <c r="F390" s="2">
        <v>46236</v>
      </c>
      <c r="G390">
        <v>20481.919999999998</v>
      </c>
      <c r="H390" t="s">
        <v>15</v>
      </c>
      <c r="I390" t="s">
        <v>23</v>
      </c>
      <c r="J390" t="s">
        <v>17</v>
      </c>
      <c r="K390" t="s">
        <v>18</v>
      </c>
    </row>
    <row r="391" spans="1:11" x14ac:dyDescent="0.25">
      <c r="A391" t="s">
        <v>1208</v>
      </c>
      <c r="B391" t="s">
        <v>75</v>
      </c>
      <c r="C391" t="s">
        <v>1209</v>
      </c>
      <c r="D391" t="s">
        <v>1210</v>
      </c>
      <c r="E391" s="2">
        <v>46176</v>
      </c>
      <c r="F391" s="2">
        <v>46191</v>
      </c>
      <c r="G391">
        <v>2084.4</v>
      </c>
      <c r="H391" t="s">
        <v>15</v>
      </c>
      <c r="I391" t="s">
        <v>16</v>
      </c>
      <c r="J391" t="s">
        <v>17</v>
      </c>
      <c r="K391" t="s">
        <v>24</v>
      </c>
    </row>
    <row r="392" spans="1:11" x14ac:dyDescent="0.25">
      <c r="A392" t="s">
        <v>1211</v>
      </c>
      <c r="B392" t="s">
        <v>138</v>
      </c>
      <c r="C392" t="s">
        <v>1212</v>
      </c>
      <c r="D392" t="s">
        <v>1213</v>
      </c>
      <c r="E392" s="2">
        <v>46098</v>
      </c>
      <c r="F392" s="2">
        <v>46143</v>
      </c>
      <c r="G392">
        <v>3112.61</v>
      </c>
      <c r="H392" t="s">
        <v>15</v>
      </c>
      <c r="I392" t="s">
        <v>23</v>
      </c>
      <c r="J392" t="s">
        <v>17</v>
      </c>
      <c r="K392" t="s">
        <v>18</v>
      </c>
    </row>
    <row r="393" spans="1:11" x14ac:dyDescent="0.25">
      <c r="A393" t="s">
        <v>1214</v>
      </c>
      <c r="B393" t="s">
        <v>89</v>
      </c>
      <c r="C393" t="s">
        <v>1215</v>
      </c>
      <c r="D393" t="s">
        <v>1216</v>
      </c>
      <c r="E393" s="2">
        <v>46239</v>
      </c>
      <c r="F393" s="2">
        <v>46254</v>
      </c>
      <c r="G393">
        <v>2069.81</v>
      </c>
      <c r="H393" t="s">
        <v>15</v>
      </c>
      <c r="I393" t="s">
        <v>16</v>
      </c>
      <c r="J393" t="s">
        <v>17</v>
      </c>
      <c r="K393" t="s">
        <v>63</v>
      </c>
    </row>
    <row r="394" spans="1:11" x14ac:dyDescent="0.25">
      <c r="A394" t="s">
        <v>1217</v>
      </c>
      <c r="B394" t="s">
        <v>26</v>
      </c>
      <c r="C394" t="s">
        <v>1218</v>
      </c>
      <c r="D394" t="s">
        <v>1219</v>
      </c>
      <c r="E394" s="2">
        <v>46057</v>
      </c>
      <c r="F394" s="2">
        <v>46087</v>
      </c>
      <c r="G394">
        <v>2285.2399999999998</v>
      </c>
      <c r="H394" t="s">
        <v>15</v>
      </c>
      <c r="I394" t="s">
        <v>23</v>
      </c>
      <c r="J394" t="s">
        <v>17</v>
      </c>
      <c r="K394" t="s">
        <v>18</v>
      </c>
    </row>
    <row r="395" spans="1:11" x14ac:dyDescent="0.25">
      <c r="A395" t="s">
        <v>1220</v>
      </c>
      <c r="B395" t="s">
        <v>138</v>
      </c>
      <c r="C395" t="s">
        <v>1221</v>
      </c>
      <c r="D395" t="s">
        <v>1222</v>
      </c>
      <c r="E395" s="2">
        <v>46290</v>
      </c>
      <c r="F395" s="2">
        <v>46335</v>
      </c>
      <c r="G395">
        <v>19568.34</v>
      </c>
      <c r="H395" t="s">
        <v>15</v>
      </c>
      <c r="I395" t="s">
        <v>16</v>
      </c>
      <c r="J395" t="s">
        <v>17</v>
      </c>
      <c r="K395" t="s">
        <v>18</v>
      </c>
    </row>
    <row r="396" spans="1:11" x14ac:dyDescent="0.25">
      <c r="A396" t="s">
        <v>1223</v>
      </c>
      <c r="B396" t="s">
        <v>45</v>
      </c>
      <c r="C396" t="s">
        <v>1224</v>
      </c>
      <c r="D396" t="s">
        <v>1225</v>
      </c>
      <c r="E396" s="2">
        <v>46074</v>
      </c>
      <c r="F396" s="2">
        <v>46104</v>
      </c>
      <c r="G396">
        <v>19669.349999999999</v>
      </c>
      <c r="H396" t="s">
        <v>15</v>
      </c>
      <c r="I396" t="s">
        <v>16</v>
      </c>
      <c r="J396" t="s">
        <v>17</v>
      </c>
      <c r="K396" t="s">
        <v>24</v>
      </c>
    </row>
    <row r="397" spans="1:11" x14ac:dyDescent="0.25">
      <c r="A397" t="s">
        <v>1226</v>
      </c>
      <c r="B397" t="s">
        <v>138</v>
      </c>
      <c r="C397" t="s">
        <v>1227</v>
      </c>
      <c r="D397" t="s">
        <v>1228</v>
      </c>
      <c r="E397" s="2">
        <v>46265</v>
      </c>
      <c r="F397" s="2">
        <v>46310</v>
      </c>
      <c r="G397">
        <v>1052.1500000000001</v>
      </c>
      <c r="H397" t="s">
        <v>15</v>
      </c>
      <c r="I397" t="s">
        <v>16</v>
      </c>
      <c r="J397" t="s">
        <v>17</v>
      </c>
      <c r="K397" t="s">
        <v>18</v>
      </c>
    </row>
    <row r="398" spans="1:11" x14ac:dyDescent="0.25">
      <c r="A398" t="s">
        <v>1229</v>
      </c>
      <c r="B398" t="s">
        <v>41</v>
      </c>
      <c r="C398" t="s">
        <v>1230</v>
      </c>
      <c r="D398" t="s">
        <v>1231</v>
      </c>
      <c r="E398" s="2">
        <v>46192</v>
      </c>
      <c r="F398" s="2">
        <v>46207</v>
      </c>
      <c r="G398">
        <v>41632.639999999999</v>
      </c>
      <c r="H398" t="s">
        <v>15</v>
      </c>
      <c r="I398" t="s">
        <v>29</v>
      </c>
      <c r="J398" t="s">
        <v>17</v>
      </c>
      <c r="K398" t="s">
        <v>63</v>
      </c>
    </row>
    <row r="399" spans="1:11" x14ac:dyDescent="0.25">
      <c r="A399" t="s">
        <v>1232</v>
      </c>
      <c r="B399" t="s">
        <v>163</v>
      </c>
      <c r="C399" t="s">
        <v>1233</v>
      </c>
      <c r="D399" t="s">
        <v>1234</v>
      </c>
      <c r="E399" s="2">
        <v>46166</v>
      </c>
      <c r="F399" s="2">
        <v>46181</v>
      </c>
      <c r="G399">
        <v>21090.02</v>
      </c>
      <c r="H399" t="s">
        <v>15</v>
      </c>
      <c r="I399" t="s">
        <v>23</v>
      </c>
      <c r="J399" t="s">
        <v>17</v>
      </c>
      <c r="K399" t="s">
        <v>63</v>
      </c>
    </row>
    <row r="400" spans="1:11" x14ac:dyDescent="0.25">
      <c r="A400" t="s">
        <v>1235</v>
      </c>
      <c r="B400" t="s">
        <v>112</v>
      </c>
      <c r="C400" t="s">
        <v>1236</v>
      </c>
      <c r="D400" t="s">
        <v>1237</v>
      </c>
      <c r="E400" s="2">
        <v>46187</v>
      </c>
      <c r="F400" s="2">
        <v>46202</v>
      </c>
      <c r="G400">
        <v>6823.17</v>
      </c>
      <c r="H400" t="s">
        <v>15</v>
      </c>
      <c r="I400" t="s">
        <v>29</v>
      </c>
      <c r="J400" t="s">
        <v>17</v>
      </c>
      <c r="K400" t="s">
        <v>63</v>
      </c>
    </row>
    <row r="401" spans="1:11" x14ac:dyDescent="0.25">
      <c r="A401" t="s">
        <v>1238</v>
      </c>
      <c r="B401" t="s">
        <v>75</v>
      </c>
      <c r="C401" t="s">
        <v>1239</v>
      </c>
      <c r="D401" t="s">
        <v>1240</v>
      </c>
      <c r="E401" s="2">
        <v>46287</v>
      </c>
      <c r="F401" s="2">
        <v>46302</v>
      </c>
      <c r="G401">
        <v>21695.66</v>
      </c>
      <c r="H401" t="s">
        <v>15</v>
      </c>
      <c r="I401" t="s">
        <v>29</v>
      </c>
      <c r="J401" t="s">
        <v>17</v>
      </c>
      <c r="K401" t="s">
        <v>24</v>
      </c>
    </row>
    <row r="402" spans="1:11" x14ac:dyDescent="0.25">
      <c r="A402" t="s">
        <v>1241</v>
      </c>
      <c r="B402" t="s">
        <v>41</v>
      </c>
      <c r="C402" t="s">
        <v>1242</v>
      </c>
      <c r="D402" t="s">
        <v>1243</v>
      </c>
      <c r="E402" s="2">
        <v>46092</v>
      </c>
      <c r="F402" s="2">
        <v>46107</v>
      </c>
      <c r="G402">
        <v>19539.25</v>
      </c>
      <c r="H402" t="s">
        <v>15</v>
      </c>
      <c r="I402" t="s">
        <v>29</v>
      </c>
      <c r="J402" t="s">
        <v>17</v>
      </c>
      <c r="K402" t="s">
        <v>18</v>
      </c>
    </row>
    <row r="403" spans="1:11" x14ac:dyDescent="0.25">
      <c r="A403" t="s">
        <v>1244</v>
      </c>
      <c r="B403" t="s">
        <v>89</v>
      </c>
      <c r="C403" t="s">
        <v>1245</v>
      </c>
      <c r="D403" t="s">
        <v>1246</v>
      </c>
      <c r="E403" s="2">
        <v>46150</v>
      </c>
      <c r="F403" s="2">
        <v>46165</v>
      </c>
      <c r="G403">
        <v>37613.129999999997</v>
      </c>
      <c r="H403" t="s">
        <v>15</v>
      </c>
      <c r="I403" t="s">
        <v>16</v>
      </c>
      <c r="J403" t="s">
        <v>17</v>
      </c>
      <c r="K403" t="s">
        <v>63</v>
      </c>
    </row>
    <row r="404" spans="1:11" x14ac:dyDescent="0.25">
      <c r="A404" t="s">
        <v>1247</v>
      </c>
      <c r="B404" t="s">
        <v>45</v>
      </c>
      <c r="C404" t="s">
        <v>1248</v>
      </c>
      <c r="D404" t="s">
        <v>1249</v>
      </c>
      <c r="E404" s="2">
        <v>46038</v>
      </c>
      <c r="F404" s="2">
        <v>46068</v>
      </c>
      <c r="G404">
        <v>6139.42</v>
      </c>
      <c r="H404" t="s">
        <v>15</v>
      </c>
      <c r="I404" t="s">
        <v>23</v>
      </c>
      <c r="J404" t="s">
        <v>17</v>
      </c>
      <c r="K404" t="s">
        <v>24</v>
      </c>
    </row>
    <row r="405" spans="1:11" x14ac:dyDescent="0.25">
      <c r="A405" t="s">
        <v>1250</v>
      </c>
      <c r="B405" t="s">
        <v>57</v>
      </c>
      <c r="C405" t="s">
        <v>1251</v>
      </c>
      <c r="D405" t="s">
        <v>1252</v>
      </c>
      <c r="E405" s="2">
        <v>46199</v>
      </c>
      <c r="F405" s="2">
        <v>46244</v>
      </c>
      <c r="G405">
        <v>4188.22</v>
      </c>
      <c r="H405" t="s">
        <v>15</v>
      </c>
      <c r="I405" t="s">
        <v>29</v>
      </c>
      <c r="J405" t="s">
        <v>30</v>
      </c>
      <c r="K405" t="s">
        <v>24</v>
      </c>
    </row>
    <row r="406" spans="1:11" x14ac:dyDescent="0.25">
      <c r="A406" t="s">
        <v>1253</v>
      </c>
      <c r="B406" t="s">
        <v>53</v>
      </c>
      <c r="C406" t="s">
        <v>1254</v>
      </c>
      <c r="D406" t="s">
        <v>1255</v>
      </c>
      <c r="E406" s="2">
        <v>46136</v>
      </c>
      <c r="F406" s="2">
        <v>46166</v>
      </c>
      <c r="G406">
        <v>16226.81</v>
      </c>
      <c r="H406" t="s">
        <v>15</v>
      </c>
      <c r="I406" t="s">
        <v>16</v>
      </c>
      <c r="J406" t="s">
        <v>30</v>
      </c>
      <c r="K406" t="s">
        <v>24</v>
      </c>
    </row>
    <row r="407" spans="1:11" x14ac:dyDescent="0.25">
      <c r="A407" t="s">
        <v>1256</v>
      </c>
      <c r="B407" t="s">
        <v>71</v>
      </c>
      <c r="C407" t="s">
        <v>1257</v>
      </c>
      <c r="D407" t="s">
        <v>1258</v>
      </c>
      <c r="E407" s="2">
        <v>46265</v>
      </c>
      <c r="F407" s="2">
        <v>46280</v>
      </c>
      <c r="G407">
        <v>22798.5</v>
      </c>
      <c r="H407" t="s">
        <v>15</v>
      </c>
      <c r="I407" t="s">
        <v>29</v>
      </c>
      <c r="J407" t="s">
        <v>17</v>
      </c>
      <c r="K407" t="s">
        <v>63</v>
      </c>
    </row>
    <row r="408" spans="1:11" x14ac:dyDescent="0.25">
      <c r="A408" t="s">
        <v>1259</v>
      </c>
      <c r="B408" t="s">
        <v>49</v>
      </c>
      <c r="C408" t="s">
        <v>1260</v>
      </c>
      <c r="D408" t="s">
        <v>1261</v>
      </c>
      <c r="E408" s="2">
        <v>46239</v>
      </c>
      <c r="F408" s="2">
        <v>46269</v>
      </c>
      <c r="G408">
        <v>22399.62</v>
      </c>
      <c r="H408" t="s">
        <v>15</v>
      </c>
      <c r="I408" t="s">
        <v>16</v>
      </c>
      <c r="J408" t="s">
        <v>17</v>
      </c>
      <c r="K408" t="s">
        <v>24</v>
      </c>
    </row>
    <row r="409" spans="1:11" x14ac:dyDescent="0.25">
      <c r="A409" t="s">
        <v>1262</v>
      </c>
      <c r="B409" t="s">
        <v>138</v>
      </c>
      <c r="C409" t="s">
        <v>1263</v>
      </c>
      <c r="D409" t="s">
        <v>1264</v>
      </c>
      <c r="E409" s="2">
        <v>46226</v>
      </c>
      <c r="F409" s="2">
        <v>46271</v>
      </c>
      <c r="G409">
        <v>59980.03</v>
      </c>
      <c r="H409" t="s">
        <v>15</v>
      </c>
      <c r="I409" t="s">
        <v>16</v>
      </c>
      <c r="J409" t="s">
        <v>17</v>
      </c>
      <c r="K409" t="s">
        <v>63</v>
      </c>
    </row>
    <row r="410" spans="1:11" x14ac:dyDescent="0.25">
      <c r="A410" t="s">
        <v>1265</v>
      </c>
      <c r="B410" t="s">
        <v>45</v>
      </c>
      <c r="C410" t="s">
        <v>1266</v>
      </c>
      <c r="D410" t="s">
        <v>1267</v>
      </c>
      <c r="E410" s="2">
        <v>46269</v>
      </c>
      <c r="F410" s="2">
        <v>46299</v>
      </c>
      <c r="G410">
        <v>1708.27</v>
      </c>
      <c r="H410" t="s">
        <v>15</v>
      </c>
      <c r="I410" t="s">
        <v>23</v>
      </c>
      <c r="J410" t="s">
        <v>17</v>
      </c>
      <c r="K410" t="s">
        <v>24</v>
      </c>
    </row>
    <row r="411" spans="1:11" x14ac:dyDescent="0.25">
      <c r="A411" t="s">
        <v>1268</v>
      </c>
      <c r="B411" t="s">
        <v>163</v>
      </c>
      <c r="C411" t="s">
        <v>1269</v>
      </c>
      <c r="D411" t="s">
        <v>1270</v>
      </c>
      <c r="E411" s="2">
        <v>46119</v>
      </c>
      <c r="F411" s="2">
        <v>46134</v>
      </c>
      <c r="G411">
        <v>3850.24</v>
      </c>
      <c r="H411" t="s">
        <v>15</v>
      </c>
      <c r="I411" t="s">
        <v>23</v>
      </c>
      <c r="J411" t="s">
        <v>17</v>
      </c>
      <c r="K411" t="s">
        <v>63</v>
      </c>
    </row>
    <row r="412" spans="1:11" x14ac:dyDescent="0.25">
      <c r="A412" t="s">
        <v>1271</v>
      </c>
      <c r="B412" t="s">
        <v>26</v>
      </c>
      <c r="C412" t="s">
        <v>1272</v>
      </c>
      <c r="D412" t="s">
        <v>1273</v>
      </c>
      <c r="E412" s="2">
        <v>46094</v>
      </c>
      <c r="F412" s="2">
        <v>46124</v>
      </c>
      <c r="G412">
        <v>18065.53</v>
      </c>
      <c r="H412" t="s">
        <v>15</v>
      </c>
      <c r="I412" t="s">
        <v>23</v>
      </c>
      <c r="J412" t="s">
        <v>17</v>
      </c>
      <c r="K412" t="s">
        <v>24</v>
      </c>
    </row>
    <row r="413" spans="1:11" x14ac:dyDescent="0.25">
      <c r="A413" t="s">
        <v>1274</v>
      </c>
      <c r="B413" t="s">
        <v>89</v>
      </c>
      <c r="C413" t="s">
        <v>1275</v>
      </c>
      <c r="D413" t="s">
        <v>1276</v>
      </c>
      <c r="E413" s="2">
        <v>46120</v>
      </c>
      <c r="F413" s="2">
        <v>46135</v>
      </c>
      <c r="G413">
        <v>8658</v>
      </c>
      <c r="H413" t="s">
        <v>15</v>
      </c>
      <c r="I413" t="s">
        <v>16</v>
      </c>
      <c r="J413" t="s">
        <v>17</v>
      </c>
      <c r="K413" t="s">
        <v>24</v>
      </c>
    </row>
    <row r="414" spans="1:11" x14ac:dyDescent="0.25">
      <c r="A414" t="s">
        <v>1277</v>
      </c>
      <c r="B414" t="s">
        <v>57</v>
      </c>
      <c r="C414" t="s">
        <v>1278</v>
      </c>
      <c r="D414" t="s">
        <v>1279</v>
      </c>
      <c r="E414" s="2">
        <v>46282</v>
      </c>
      <c r="F414" s="2">
        <v>46327</v>
      </c>
      <c r="G414">
        <v>7588.85</v>
      </c>
      <c r="H414" t="s">
        <v>15</v>
      </c>
      <c r="I414" t="s">
        <v>29</v>
      </c>
      <c r="J414" t="s">
        <v>30</v>
      </c>
      <c r="K414" t="s">
        <v>18</v>
      </c>
    </row>
    <row r="415" spans="1:11" x14ac:dyDescent="0.25">
      <c r="A415" t="s">
        <v>1280</v>
      </c>
      <c r="B415" t="s">
        <v>49</v>
      </c>
      <c r="C415" t="s">
        <v>1281</v>
      </c>
      <c r="D415" t="s">
        <v>1282</v>
      </c>
      <c r="E415" s="2">
        <v>46116</v>
      </c>
      <c r="F415" s="2">
        <v>46146</v>
      </c>
      <c r="G415">
        <v>23679.45</v>
      </c>
      <c r="H415" t="s">
        <v>15</v>
      </c>
      <c r="I415" t="s">
        <v>16</v>
      </c>
      <c r="J415" t="s">
        <v>17</v>
      </c>
      <c r="K415" t="s">
        <v>63</v>
      </c>
    </row>
    <row r="416" spans="1:11" x14ac:dyDescent="0.25">
      <c r="A416" t="s">
        <v>1283</v>
      </c>
      <c r="B416" t="s">
        <v>85</v>
      </c>
      <c r="C416" t="s">
        <v>1284</v>
      </c>
      <c r="D416" t="s">
        <v>1285</v>
      </c>
      <c r="E416" s="2">
        <v>46192</v>
      </c>
      <c r="F416" s="2">
        <v>46237</v>
      </c>
      <c r="G416">
        <v>9367.4599999999991</v>
      </c>
      <c r="H416" t="s">
        <v>15</v>
      </c>
      <c r="I416" t="s">
        <v>29</v>
      </c>
      <c r="J416" t="s">
        <v>30</v>
      </c>
      <c r="K416" t="s">
        <v>24</v>
      </c>
    </row>
    <row r="417" spans="1:11" x14ac:dyDescent="0.25">
      <c r="A417" t="s">
        <v>1286</v>
      </c>
      <c r="B417" t="s">
        <v>170</v>
      </c>
      <c r="C417" t="s">
        <v>1287</v>
      </c>
      <c r="D417" t="s">
        <v>1288</v>
      </c>
      <c r="E417" s="2">
        <v>46059</v>
      </c>
      <c r="F417" s="2">
        <v>46089</v>
      </c>
      <c r="G417">
        <v>11868.83</v>
      </c>
      <c r="H417" t="s">
        <v>15</v>
      </c>
      <c r="I417" t="s">
        <v>16</v>
      </c>
      <c r="J417" t="s">
        <v>17</v>
      </c>
      <c r="K417" t="s">
        <v>18</v>
      </c>
    </row>
    <row r="418" spans="1:11" x14ac:dyDescent="0.25">
      <c r="A418" t="s">
        <v>1289</v>
      </c>
      <c r="B418" t="s">
        <v>122</v>
      </c>
      <c r="C418" t="s">
        <v>1290</v>
      </c>
      <c r="D418" t="s">
        <v>1291</v>
      </c>
      <c r="E418" s="2">
        <v>46093</v>
      </c>
      <c r="F418" s="2">
        <v>46108</v>
      </c>
      <c r="G418">
        <v>24809.61</v>
      </c>
      <c r="H418" t="s">
        <v>15</v>
      </c>
      <c r="I418" t="s">
        <v>29</v>
      </c>
      <c r="J418" t="s">
        <v>17</v>
      </c>
      <c r="K418" t="s">
        <v>18</v>
      </c>
    </row>
    <row r="419" spans="1:11" x14ac:dyDescent="0.25">
      <c r="A419" t="s">
        <v>1292</v>
      </c>
      <c r="B419" t="s">
        <v>102</v>
      </c>
      <c r="C419" t="s">
        <v>1293</v>
      </c>
      <c r="D419" t="s">
        <v>1294</v>
      </c>
      <c r="E419" s="2">
        <v>46272</v>
      </c>
      <c r="F419" s="2">
        <v>46317</v>
      </c>
      <c r="G419">
        <v>8395.82</v>
      </c>
      <c r="H419" t="s">
        <v>15</v>
      </c>
      <c r="I419" t="s">
        <v>29</v>
      </c>
      <c r="J419" t="s">
        <v>17</v>
      </c>
      <c r="K419" t="s">
        <v>18</v>
      </c>
    </row>
    <row r="420" spans="1:11" x14ac:dyDescent="0.25">
      <c r="A420" t="s">
        <v>1295</v>
      </c>
      <c r="B420" t="s">
        <v>12</v>
      </c>
      <c r="C420" t="s">
        <v>1296</v>
      </c>
      <c r="D420" t="s">
        <v>1297</v>
      </c>
      <c r="E420" s="2">
        <v>46104</v>
      </c>
      <c r="F420" s="2">
        <v>46119</v>
      </c>
      <c r="G420">
        <v>12300.68</v>
      </c>
      <c r="H420" t="s">
        <v>15</v>
      </c>
      <c r="I420" t="s">
        <v>16</v>
      </c>
      <c r="J420" t="s">
        <v>17</v>
      </c>
      <c r="K420" t="s">
        <v>63</v>
      </c>
    </row>
    <row r="421" spans="1:11" x14ac:dyDescent="0.25">
      <c r="A421" t="s">
        <v>1298</v>
      </c>
      <c r="B421" t="s">
        <v>85</v>
      </c>
      <c r="C421" t="s">
        <v>1299</v>
      </c>
      <c r="D421" t="s">
        <v>1300</v>
      </c>
      <c r="E421" s="2">
        <v>46267</v>
      </c>
      <c r="F421" s="2">
        <v>46312</v>
      </c>
      <c r="G421">
        <v>31979.5</v>
      </c>
      <c r="H421" t="s">
        <v>15</v>
      </c>
      <c r="I421" t="s">
        <v>23</v>
      </c>
      <c r="J421" t="s">
        <v>17</v>
      </c>
      <c r="K421" t="s">
        <v>24</v>
      </c>
    </row>
    <row r="422" spans="1:11" x14ac:dyDescent="0.25">
      <c r="A422" t="s">
        <v>1301</v>
      </c>
      <c r="B422" t="s">
        <v>53</v>
      </c>
      <c r="C422" t="s">
        <v>1302</v>
      </c>
      <c r="D422" t="s">
        <v>1303</v>
      </c>
      <c r="E422" s="2">
        <v>46032</v>
      </c>
      <c r="F422" s="2">
        <v>46062</v>
      </c>
      <c r="G422">
        <v>16957.490000000002</v>
      </c>
      <c r="H422" t="s">
        <v>15</v>
      </c>
      <c r="I422" t="s">
        <v>39</v>
      </c>
      <c r="J422" t="s">
        <v>17</v>
      </c>
      <c r="K422" t="s">
        <v>18</v>
      </c>
    </row>
    <row r="423" spans="1:11" x14ac:dyDescent="0.25">
      <c r="A423" t="s">
        <v>1304</v>
      </c>
      <c r="B423" t="s">
        <v>45</v>
      </c>
      <c r="C423" t="s">
        <v>1305</v>
      </c>
      <c r="D423" t="s">
        <v>1306</v>
      </c>
      <c r="E423" s="2">
        <v>46219</v>
      </c>
      <c r="F423" s="2">
        <v>46249</v>
      </c>
      <c r="G423">
        <v>12643.01</v>
      </c>
      <c r="H423" t="s">
        <v>15</v>
      </c>
      <c r="I423" t="s">
        <v>29</v>
      </c>
      <c r="J423" t="s">
        <v>17</v>
      </c>
      <c r="K423" t="s">
        <v>63</v>
      </c>
    </row>
    <row r="424" spans="1:11" x14ac:dyDescent="0.25">
      <c r="A424" t="s">
        <v>1307</v>
      </c>
      <c r="B424" t="s">
        <v>36</v>
      </c>
      <c r="C424" t="s">
        <v>1308</v>
      </c>
      <c r="D424" t="s">
        <v>1309</v>
      </c>
      <c r="E424" s="2">
        <v>46291</v>
      </c>
      <c r="F424" s="2">
        <v>46321</v>
      </c>
      <c r="G424">
        <v>8525.34</v>
      </c>
      <c r="H424" t="s">
        <v>15</v>
      </c>
      <c r="I424" t="s">
        <v>23</v>
      </c>
      <c r="J424" t="s">
        <v>17</v>
      </c>
      <c r="K424" t="s">
        <v>18</v>
      </c>
    </row>
    <row r="425" spans="1:11" x14ac:dyDescent="0.25">
      <c r="A425" t="s">
        <v>1310</v>
      </c>
      <c r="B425" t="s">
        <v>12</v>
      </c>
      <c r="C425" t="s">
        <v>1311</v>
      </c>
      <c r="D425" t="s">
        <v>1312</v>
      </c>
      <c r="E425" s="2">
        <v>46229</v>
      </c>
      <c r="F425" s="2">
        <v>46244</v>
      </c>
      <c r="G425">
        <v>595.82000000000005</v>
      </c>
      <c r="H425" t="s">
        <v>15</v>
      </c>
      <c r="I425" t="s">
        <v>39</v>
      </c>
      <c r="J425" t="s">
        <v>17</v>
      </c>
      <c r="K425" t="s">
        <v>18</v>
      </c>
    </row>
    <row r="426" spans="1:11" x14ac:dyDescent="0.25">
      <c r="A426" t="s">
        <v>1313</v>
      </c>
      <c r="B426" t="s">
        <v>45</v>
      </c>
      <c r="C426" t="s">
        <v>1314</v>
      </c>
      <c r="D426" t="s">
        <v>1315</v>
      </c>
      <c r="E426" s="2">
        <v>46210</v>
      </c>
      <c r="F426" s="2">
        <v>46240</v>
      </c>
      <c r="G426">
        <v>17812.419999999998</v>
      </c>
      <c r="H426" t="s">
        <v>15</v>
      </c>
      <c r="I426" t="s">
        <v>16</v>
      </c>
      <c r="J426" t="s">
        <v>17</v>
      </c>
      <c r="K426" t="s">
        <v>18</v>
      </c>
    </row>
    <row r="427" spans="1:11" x14ac:dyDescent="0.25">
      <c r="A427" t="s">
        <v>1316</v>
      </c>
      <c r="B427" t="s">
        <v>138</v>
      </c>
      <c r="C427" t="s">
        <v>1317</v>
      </c>
      <c r="D427" t="s">
        <v>1318</v>
      </c>
      <c r="E427" s="2">
        <v>46047</v>
      </c>
      <c r="F427" s="2">
        <v>46092</v>
      </c>
      <c r="G427">
        <v>16589.810000000001</v>
      </c>
      <c r="H427" t="s">
        <v>15</v>
      </c>
      <c r="I427" t="s">
        <v>39</v>
      </c>
      <c r="J427" t="s">
        <v>17</v>
      </c>
      <c r="K427" t="s">
        <v>63</v>
      </c>
    </row>
    <row r="428" spans="1:11" x14ac:dyDescent="0.25">
      <c r="A428" t="s">
        <v>1319</v>
      </c>
      <c r="B428" t="s">
        <v>45</v>
      </c>
      <c r="C428" t="s">
        <v>1320</v>
      </c>
      <c r="D428" t="s">
        <v>1321</v>
      </c>
      <c r="E428" s="2">
        <v>46303</v>
      </c>
      <c r="F428" s="2">
        <v>46333</v>
      </c>
      <c r="G428">
        <v>6408.13</v>
      </c>
      <c r="H428" t="s">
        <v>15</v>
      </c>
      <c r="I428" t="s">
        <v>39</v>
      </c>
      <c r="J428" t="s">
        <v>30</v>
      </c>
      <c r="K428" t="s">
        <v>63</v>
      </c>
    </row>
    <row r="429" spans="1:11" x14ac:dyDescent="0.25">
      <c r="A429" t="s">
        <v>1322</v>
      </c>
      <c r="B429" t="s">
        <v>45</v>
      </c>
      <c r="C429" t="s">
        <v>1323</v>
      </c>
      <c r="D429" t="s">
        <v>1324</v>
      </c>
      <c r="E429" s="2">
        <v>46289</v>
      </c>
      <c r="F429" s="2">
        <v>46319</v>
      </c>
      <c r="G429">
        <v>6837.03</v>
      </c>
      <c r="H429" t="s">
        <v>15</v>
      </c>
      <c r="I429" t="s">
        <v>39</v>
      </c>
      <c r="J429" t="s">
        <v>30</v>
      </c>
      <c r="K429" t="s">
        <v>24</v>
      </c>
    </row>
    <row r="430" spans="1:11" x14ac:dyDescent="0.25">
      <c r="A430" t="s">
        <v>1325</v>
      </c>
      <c r="B430" t="s">
        <v>138</v>
      </c>
      <c r="C430" t="s">
        <v>1326</v>
      </c>
      <c r="D430" t="s">
        <v>1327</v>
      </c>
      <c r="E430" s="2">
        <v>46083</v>
      </c>
      <c r="F430" s="2">
        <v>46128</v>
      </c>
      <c r="G430">
        <v>7153.74</v>
      </c>
      <c r="H430" t="s">
        <v>15</v>
      </c>
      <c r="I430" t="s">
        <v>16</v>
      </c>
      <c r="J430" t="s">
        <v>17</v>
      </c>
      <c r="K430" t="s">
        <v>24</v>
      </c>
    </row>
    <row r="431" spans="1:11" x14ac:dyDescent="0.25">
      <c r="A431" t="s">
        <v>1328</v>
      </c>
      <c r="B431" t="s">
        <v>53</v>
      </c>
      <c r="C431" t="s">
        <v>1329</v>
      </c>
      <c r="D431" t="s">
        <v>1330</v>
      </c>
      <c r="E431" s="2">
        <v>46206</v>
      </c>
      <c r="F431" s="2">
        <v>46236</v>
      </c>
      <c r="G431">
        <v>17621.509999999998</v>
      </c>
      <c r="H431" t="s">
        <v>15</v>
      </c>
      <c r="I431" t="s">
        <v>16</v>
      </c>
      <c r="J431" t="s">
        <v>17</v>
      </c>
      <c r="K431" t="s">
        <v>63</v>
      </c>
    </row>
    <row r="432" spans="1:11" x14ac:dyDescent="0.25">
      <c r="A432" t="s">
        <v>1331</v>
      </c>
      <c r="B432" t="s">
        <v>26</v>
      </c>
      <c r="C432" t="s">
        <v>1332</v>
      </c>
      <c r="D432" t="s">
        <v>1333</v>
      </c>
      <c r="E432" s="2">
        <v>46143</v>
      </c>
      <c r="F432" s="2">
        <v>46173</v>
      </c>
      <c r="G432">
        <v>188.12</v>
      </c>
      <c r="H432" t="s">
        <v>15</v>
      </c>
      <c r="I432" t="s">
        <v>16</v>
      </c>
      <c r="J432" t="s">
        <v>17</v>
      </c>
      <c r="K432" t="s">
        <v>18</v>
      </c>
    </row>
    <row r="433" spans="1:11" x14ac:dyDescent="0.25">
      <c r="A433" t="s">
        <v>1334</v>
      </c>
      <c r="B433" t="s">
        <v>36</v>
      </c>
      <c r="C433" t="s">
        <v>1335</v>
      </c>
      <c r="D433" t="s">
        <v>1336</v>
      </c>
      <c r="E433" s="2">
        <v>46061</v>
      </c>
      <c r="F433" s="2">
        <v>46091</v>
      </c>
      <c r="G433">
        <v>18122.259999999998</v>
      </c>
      <c r="H433" t="s">
        <v>15</v>
      </c>
      <c r="I433" t="s">
        <v>16</v>
      </c>
      <c r="J433" t="s">
        <v>17</v>
      </c>
      <c r="K433" t="s">
        <v>63</v>
      </c>
    </row>
    <row r="434" spans="1:11" x14ac:dyDescent="0.25">
      <c r="A434" t="s">
        <v>1337</v>
      </c>
      <c r="B434" t="s">
        <v>49</v>
      </c>
      <c r="C434" t="s">
        <v>1338</v>
      </c>
      <c r="D434" t="s">
        <v>1339</v>
      </c>
      <c r="E434" s="2">
        <v>46260</v>
      </c>
      <c r="F434" s="2">
        <v>46290</v>
      </c>
      <c r="G434">
        <v>1366</v>
      </c>
      <c r="H434" t="s">
        <v>15</v>
      </c>
      <c r="I434" t="s">
        <v>16</v>
      </c>
      <c r="J434" t="s">
        <v>17</v>
      </c>
      <c r="K434" t="s">
        <v>63</v>
      </c>
    </row>
    <row r="435" spans="1:11" x14ac:dyDescent="0.25">
      <c r="A435" t="s">
        <v>1340</v>
      </c>
      <c r="B435" t="s">
        <v>85</v>
      </c>
      <c r="C435" t="s">
        <v>1341</v>
      </c>
      <c r="D435" t="s">
        <v>1342</v>
      </c>
      <c r="E435" s="2">
        <v>46082</v>
      </c>
      <c r="F435" s="2">
        <v>46127</v>
      </c>
      <c r="G435">
        <v>2483.56</v>
      </c>
      <c r="H435" t="s">
        <v>15</v>
      </c>
      <c r="I435" t="s">
        <v>23</v>
      </c>
      <c r="J435" t="s">
        <v>17</v>
      </c>
      <c r="K435" t="s">
        <v>18</v>
      </c>
    </row>
    <row r="436" spans="1:11" x14ac:dyDescent="0.25">
      <c r="A436" t="s">
        <v>1343</v>
      </c>
      <c r="B436" t="s">
        <v>26</v>
      </c>
      <c r="C436" t="s">
        <v>1344</v>
      </c>
      <c r="D436" t="s">
        <v>1345</v>
      </c>
      <c r="E436" s="2">
        <v>46206</v>
      </c>
      <c r="F436" s="2">
        <v>46236</v>
      </c>
      <c r="G436">
        <v>22375.85</v>
      </c>
      <c r="H436" t="s">
        <v>15</v>
      </c>
      <c r="I436" t="s">
        <v>29</v>
      </c>
      <c r="J436" t="s">
        <v>17</v>
      </c>
      <c r="K436" t="s">
        <v>18</v>
      </c>
    </row>
    <row r="437" spans="1:11" x14ac:dyDescent="0.25">
      <c r="A437" t="s">
        <v>1346</v>
      </c>
      <c r="B437" t="s">
        <v>45</v>
      </c>
      <c r="C437" t="s">
        <v>1347</v>
      </c>
      <c r="D437" t="s">
        <v>1348</v>
      </c>
      <c r="E437" s="2">
        <v>46228</v>
      </c>
      <c r="F437" s="2">
        <v>46258</v>
      </c>
      <c r="G437">
        <v>10078.23</v>
      </c>
      <c r="H437" t="s">
        <v>15</v>
      </c>
      <c r="I437" t="s">
        <v>23</v>
      </c>
      <c r="J437" t="s">
        <v>17</v>
      </c>
      <c r="K437" t="s">
        <v>24</v>
      </c>
    </row>
    <row r="438" spans="1:11" x14ac:dyDescent="0.25">
      <c r="A438" t="s">
        <v>1349</v>
      </c>
      <c r="B438" t="s">
        <v>12</v>
      </c>
      <c r="C438" t="s">
        <v>1350</v>
      </c>
      <c r="D438" t="s">
        <v>1351</v>
      </c>
      <c r="E438" s="2">
        <v>46080</v>
      </c>
      <c r="F438" s="2">
        <v>46095</v>
      </c>
      <c r="G438">
        <v>3416.89</v>
      </c>
      <c r="H438" t="s">
        <v>15</v>
      </c>
      <c r="I438" t="s">
        <v>16</v>
      </c>
      <c r="J438" t="s">
        <v>17</v>
      </c>
      <c r="K438" t="s">
        <v>24</v>
      </c>
    </row>
    <row r="439" spans="1:11" x14ac:dyDescent="0.25">
      <c r="A439" t="s">
        <v>1352</v>
      </c>
      <c r="B439" t="s">
        <v>112</v>
      </c>
      <c r="C439" t="s">
        <v>1353</v>
      </c>
      <c r="D439" t="s">
        <v>1354</v>
      </c>
      <c r="E439" s="2">
        <v>46115</v>
      </c>
      <c r="F439" s="2">
        <v>46130</v>
      </c>
      <c r="G439">
        <v>15329.72</v>
      </c>
      <c r="H439" t="s">
        <v>15</v>
      </c>
      <c r="I439" t="s">
        <v>23</v>
      </c>
      <c r="J439" t="s">
        <v>17</v>
      </c>
      <c r="K439" t="s">
        <v>24</v>
      </c>
    </row>
    <row r="440" spans="1:11" x14ac:dyDescent="0.25">
      <c r="A440" t="s">
        <v>1355</v>
      </c>
      <c r="B440" t="s">
        <v>122</v>
      </c>
      <c r="C440" t="s">
        <v>1356</v>
      </c>
      <c r="D440" t="s">
        <v>1357</v>
      </c>
      <c r="E440" s="2">
        <v>46270</v>
      </c>
      <c r="F440" s="2">
        <v>46285</v>
      </c>
      <c r="G440">
        <v>23019.5</v>
      </c>
      <c r="H440" t="s">
        <v>15</v>
      </c>
      <c r="I440" t="s">
        <v>29</v>
      </c>
      <c r="J440" t="s">
        <v>17</v>
      </c>
      <c r="K440" t="s">
        <v>63</v>
      </c>
    </row>
    <row r="441" spans="1:11" x14ac:dyDescent="0.25">
      <c r="A441" t="s">
        <v>1358</v>
      </c>
      <c r="B441" t="s">
        <v>71</v>
      </c>
      <c r="C441" t="s">
        <v>1359</v>
      </c>
      <c r="D441" t="s">
        <v>1360</v>
      </c>
      <c r="E441" s="2">
        <v>46291</v>
      </c>
      <c r="F441" s="2">
        <v>46306</v>
      </c>
      <c r="G441">
        <v>19216.11</v>
      </c>
      <c r="H441" t="s">
        <v>15</v>
      </c>
      <c r="I441" t="s">
        <v>23</v>
      </c>
      <c r="J441" t="s">
        <v>17</v>
      </c>
      <c r="K441" t="s">
        <v>63</v>
      </c>
    </row>
    <row r="442" spans="1:11" x14ac:dyDescent="0.25">
      <c r="A442" t="s">
        <v>1361</v>
      </c>
      <c r="B442" t="s">
        <v>36</v>
      </c>
      <c r="C442" t="s">
        <v>1362</v>
      </c>
      <c r="D442" t="s">
        <v>1363</v>
      </c>
      <c r="E442" s="2">
        <v>46290</v>
      </c>
      <c r="F442" s="2">
        <v>46320</v>
      </c>
      <c r="G442">
        <v>17243.45</v>
      </c>
      <c r="H442" t="s">
        <v>15</v>
      </c>
      <c r="I442" t="s">
        <v>39</v>
      </c>
      <c r="J442" t="s">
        <v>17</v>
      </c>
      <c r="K442" t="s">
        <v>24</v>
      </c>
    </row>
    <row r="443" spans="1:11" x14ac:dyDescent="0.25">
      <c r="A443" t="s">
        <v>1364</v>
      </c>
      <c r="B443" t="s">
        <v>41</v>
      </c>
      <c r="C443" t="s">
        <v>1365</v>
      </c>
      <c r="D443" t="s">
        <v>1366</v>
      </c>
      <c r="E443" s="2">
        <v>46099</v>
      </c>
      <c r="F443" s="2">
        <v>46114</v>
      </c>
      <c r="G443">
        <v>20995.14</v>
      </c>
      <c r="H443" t="s">
        <v>15</v>
      </c>
      <c r="I443" t="s">
        <v>29</v>
      </c>
      <c r="J443" t="s">
        <v>17</v>
      </c>
      <c r="K443" t="s">
        <v>24</v>
      </c>
    </row>
    <row r="444" spans="1:11" x14ac:dyDescent="0.25">
      <c r="A444" t="s">
        <v>1367</v>
      </c>
      <c r="B444" t="s">
        <v>75</v>
      </c>
      <c r="C444" t="s">
        <v>1368</v>
      </c>
      <c r="D444" t="s">
        <v>1369</v>
      </c>
      <c r="E444" s="2">
        <v>46276</v>
      </c>
      <c r="F444" s="2">
        <v>46291</v>
      </c>
      <c r="G444">
        <v>42207.68</v>
      </c>
      <c r="H444" t="s">
        <v>15</v>
      </c>
      <c r="I444" t="s">
        <v>23</v>
      </c>
      <c r="J444" t="s">
        <v>30</v>
      </c>
      <c r="K444" t="s">
        <v>18</v>
      </c>
    </row>
    <row r="445" spans="1:11" x14ac:dyDescent="0.25">
      <c r="A445" t="s">
        <v>1370</v>
      </c>
      <c r="B445" t="s">
        <v>32</v>
      </c>
      <c r="C445" t="s">
        <v>1371</v>
      </c>
      <c r="D445" t="s">
        <v>1372</v>
      </c>
      <c r="E445" s="2">
        <v>46216</v>
      </c>
      <c r="F445" s="2">
        <v>46246</v>
      </c>
      <c r="G445">
        <v>10153.530000000001</v>
      </c>
      <c r="H445" t="s">
        <v>15</v>
      </c>
      <c r="I445" t="s">
        <v>39</v>
      </c>
      <c r="J445" t="s">
        <v>17</v>
      </c>
      <c r="K445" t="s">
        <v>63</v>
      </c>
    </row>
    <row r="446" spans="1:11" x14ac:dyDescent="0.25">
      <c r="A446" t="s">
        <v>1373</v>
      </c>
      <c r="B446" t="s">
        <v>112</v>
      </c>
      <c r="C446" t="s">
        <v>1374</v>
      </c>
      <c r="D446" t="s">
        <v>1375</v>
      </c>
      <c r="E446" s="2">
        <v>46184</v>
      </c>
      <c r="F446" s="2">
        <v>46199</v>
      </c>
      <c r="G446">
        <v>3073.43</v>
      </c>
      <c r="H446" t="s">
        <v>15</v>
      </c>
      <c r="I446" t="s">
        <v>29</v>
      </c>
      <c r="J446" t="s">
        <v>17</v>
      </c>
      <c r="K446" t="s">
        <v>24</v>
      </c>
    </row>
    <row r="447" spans="1:11" x14ac:dyDescent="0.25">
      <c r="A447" t="s">
        <v>1376</v>
      </c>
      <c r="B447" t="s">
        <v>32</v>
      </c>
      <c r="C447" t="s">
        <v>1377</v>
      </c>
      <c r="D447" t="s">
        <v>1378</v>
      </c>
      <c r="E447" s="2">
        <v>46023</v>
      </c>
      <c r="F447" s="2">
        <v>46053</v>
      </c>
      <c r="G447">
        <v>20668.61</v>
      </c>
      <c r="H447" t="s">
        <v>15</v>
      </c>
      <c r="I447" t="s">
        <v>16</v>
      </c>
      <c r="J447" t="s">
        <v>17</v>
      </c>
      <c r="K447" t="s">
        <v>18</v>
      </c>
    </row>
    <row r="448" spans="1:11" x14ac:dyDescent="0.25">
      <c r="A448" t="s">
        <v>1379</v>
      </c>
      <c r="B448" t="s">
        <v>112</v>
      </c>
      <c r="C448" t="s">
        <v>1380</v>
      </c>
      <c r="D448" t="s">
        <v>1381</v>
      </c>
      <c r="E448" s="2">
        <v>46197</v>
      </c>
      <c r="F448" s="2">
        <v>46212</v>
      </c>
      <c r="G448">
        <v>32802.129999999997</v>
      </c>
      <c r="H448" t="s">
        <v>15</v>
      </c>
      <c r="I448" t="s">
        <v>16</v>
      </c>
      <c r="J448" t="s">
        <v>17</v>
      </c>
      <c r="K448" t="s">
        <v>63</v>
      </c>
    </row>
    <row r="449" spans="1:11" x14ac:dyDescent="0.25">
      <c r="A449" t="s">
        <v>1382</v>
      </c>
      <c r="B449" t="s">
        <v>57</v>
      </c>
      <c r="C449" t="s">
        <v>1383</v>
      </c>
      <c r="D449" t="s">
        <v>1384</v>
      </c>
      <c r="E449" s="2">
        <v>46254</v>
      </c>
      <c r="F449" s="2">
        <v>46299</v>
      </c>
      <c r="G449">
        <v>2956.9</v>
      </c>
      <c r="H449" t="s">
        <v>15</v>
      </c>
      <c r="I449" t="s">
        <v>16</v>
      </c>
      <c r="J449" t="s">
        <v>17</v>
      </c>
      <c r="K449" t="s">
        <v>63</v>
      </c>
    </row>
    <row r="450" spans="1:11" x14ac:dyDescent="0.25">
      <c r="A450" t="s">
        <v>1385</v>
      </c>
      <c r="B450" t="s">
        <v>32</v>
      </c>
      <c r="C450" t="s">
        <v>1386</v>
      </c>
      <c r="D450" t="s">
        <v>1387</v>
      </c>
      <c r="E450" s="2">
        <v>46290</v>
      </c>
      <c r="F450" s="2">
        <v>46320</v>
      </c>
      <c r="G450">
        <v>9422.39</v>
      </c>
      <c r="H450" t="s">
        <v>15</v>
      </c>
      <c r="I450" t="s">
        <v>29</v>
      </c>
      <c r="J450" t="s">
        <v>17</v>
      </c>
      <c r="K450" t="s">
        <v>24</v>
      </c>
    </row>
    <row r="451" spans="1:11" x14ac:dyDescent="0.25">
      <c r="A451" t="s">
        <v>1388</v>
      </c>
      <c r="B451" t="s">
        <v>85</v>
      </c>
      <c r="C451" t="s">
        <v>1389</v>
      </c>
      <c r="D451" t="s">
        <v>1390</v>
      </c>
      <c r="E451" s="2">
        <v>46077</v>
      </c>
      <c r="F451" s="2">
        <v>46122</v>
      </c>
      <c r="G451">
        <v>6446.72</v>
      </c>
      <c r="H451" t="s">
        <v>15</v>
      </c>
      <c r="I451" t="s">
        <v>16</v>
      </c>
      <c r="J451" t="s">
        <v>17</v>
      </c>
      <c r="K451" t="s">
        <v>18</v>
      </c>
    </row>
    <row r="452" spans="1:11" x14ac:dyDescent="0.25">
      <c r="A452" t="s">
        <v>1391</v>
      </c>
      <c r="B452" t="s">
        <v>26</v>
      </c>
      <c r="C452" t="s">
        <v>1392</v>
      </c>
      <c r="D452" t="s">
        <v>1393</v>
      </c>
      <c r="E452" s="2">
        <v>46078</v>
      </c>
      <c r="F452" s="2">
        <v>46108</v>
      </c>
      <c r="G452">
        <v>47163.42</v>
      </c>
      <c r="H452" t="s">
        <v>15</v>
      </c>
      <c r="I452" t="s">
        <v>29</v>
      </c>
      <c r="J452" t="s">
        <v>17</v>
      </c>
      <c r="K452" t="s">
        <v>63</v>
      </c>
    </row>
    <row r="453" spans="1:11" x14ac:dyDescent="0.25">
      <c r="A453" t="s">
        <v>1394</v>
      </c>
      <c r="B453" t="s">
        <v>170</v>
      </c>
      <c r="C453" t="s">
        <v>1395</v>
      </c>
      <c r="D453" t="s">
        <v>1396</v>
      </c>
      <c r="E453" s="2">
        <v>46281</v>
      </c>
      <c r="F453" s="2">
        <v>46311</v>
      </c>
      <c r="G453">
        <v>3469.74</v>
      </c>
      <c r="H453" t="s">
        <v>15</v>
      </c>
      <c r="I453" t="s">
        <v>29</v>
      </c>
      <c r="J453" t="s">
        <v>17</v>
      </c>
      <c r="K453" t="s">
        <v>24</v>
      </c>
    </row>
    <row r="454" spans="1:11" x14ac:dyDescent="0.25">
      <c r="A454" t="s">
        <v>1397</v>
      </c>
      <c r="B454" t="s">
        <v>75</v>
      </c>
      <c r="C454" t="s">
        <v>1398</v>
      </c>
      <c r="D454" t="s">
        <v>1399</v>
      </c>
      <c r="E454" s="2">
        <v>46283</v>
      </c>
      <c r="F454" s="2">
        <v>46298</v>
      </c>
      <c r="G454">
        <v>19553.310000000001</v>
      </c>
      <c r="H454" t="s">
        <v>15</v>
      </c>
      <c r="I454" t="s">
        <v>39</v>
      </c>
      <c r="J454" t="s">
        <v>30</v>
      </c>
      <c r="K454" t="s">
        <v>63</v>
      </c>
    </row>
    <row r="455" spans="1:11" x14ac:dyDescent="0.25">
      <c r="A455" t="s">
        <v>1400</v>
      </c>
      <c r="B455" t="s">
        <v>138</v>
      </c>
      <c r="C455" t="s">
        <v>1401</v>
      </c>
      <c r="D455" t="s">
        <v>1402</v>
      </c>
      <c r="E455" s="2">
        <v>46187</v>
      </c>
      <c r="F455" s="2">
        <v>46232</v>
      </c>
      <c r="G455">
        <v>12662.26</v>
      </c>
      <c r="H455" t="s">
        <v>15</v>
      </c>
      <c r="I455" t="s">
        <v>39</v>
      </c>
      <c r="J455" t="s">
        <v>17</v>
      </c>
      <c r="K455" t="s">
        <v>63</v>
      </c>
    </row>
    <row r="456" spans="1:11" x14ac:dyDescent="0.25">
      <c r="A456" t="s">
        <v>1403</v>
      </c>
      <c r="B456" t="s">
        <v>163</v>
      </c>
      <c r="C456" t="s">
        <v>1404</v>
      </c>
      <c r="D456" t="s">
        <v>1405</v>
      </c>
      <c r="E456" s="2">
        <v>46254</v>
      </c>
      <c r="F456" s="2">
        <v>46269</v>
      </c>
      <c r="G456">
        <v>20143.349999999999</v>
      </c>
      <c r="H456" t="s">
        <v>15</v>
      </c>
      <c r="I456" t="s">
        <v>23</v>
      </c>
      <c r="J456" t="s">
        <v>17</v>
      </c>
      <c r="K456" t="s">
        <v>24</v>
      </c>
    </row>
    <row r="457" spans="1:11" x14ac:dyDescent="0.25">
      <c r="A457" t="s">
        <v>1406</v>
      </c>
      <c r="B457" t="s">
        <v>32</v>
      </c>
      <c r="C457" t="s">
        <v>1407</v>
      </c>
      <c r="D457" t="s">
        <v>1408</v>
      </c>
      <c r="E457" s="2">
        <v>46183</v>
      </c>
      <c r="F457" s="2">
        <v>46213</v>
      </c>
      <c r="G457">
        <v>17831.43</v>
      </c>
      <c r="H457" t="s">
        <v>15</v>
      </c>
      <c r="I457" t="s">
        <v>16</v>
      </c>
      <c r="J457" t="s">
        <v>17</v>
      </c>
      <c r="K457" t="s">
        <v>63</v>
      </c>
    </row>
    <row r="458" spans="1:11" x14ac:dyDescent="0.25">
      <c r="A458" t="s">
        <v>1409</v>
      </c>
      <c r="B458" t="s">
        <v>57</v>
      </c>
      <c r="C458" t="s">
        <v>1410</v>
      </c>
      <c r="D458" t="s">
        <v>1411</v>
      </c>
      <c r="E458" s="2">
        <v>46090</v>
      </c>
      <c r="F458" s="2">
        <v>46135</v>
      </c>
      <c r="G458">
        <v>24535.63</v>
      </c>
      <c r="H458" t="s">
        <v>15</v>
      </c>
      <c r="I458" t="s">
        <v>16</v>
      </c>
      <c r="J458" t="s">
        <v>17</v>
      </c>
      <c r="K458" t="s">
        <v>24</v>
      </c>
    </row>
    <row r="459" spans="1:11" x14ac:dyDescent="0.25">
      <c r="A459" t="s">
        <v>1412</v>
      </c>
      <c r="B459" t="s">
        <v>45</v>
      </c>
      <c r="C459" t="s">
        <v>1413</v>
      </c>
      <c r="D459" t="s">
        <v>1414</v>
      </c>
      <c r="E459" s="2">
        <v>46203</v>
      </c>
      <c r="F459" s="2">
        <v>46233</v>
      </c>
      <c r="G459">
        <v>14109.53</v>
      </c>
      <c r="H459" t="s">
        <v>15</v>
      </c>
      <c r="I459" t="s">
        <v>16</v>
      </c>
      <c r="J459" t="s">
        <v>17</v>
      </c>
      <c r="K459" t="s">
        <v>24</v>
      </c>
    </row>
    <row r="460" spans="1:11" x14ac:dyDescent="0.25">
      <c r="A460" t="s">
        <v>1415</v>
      </c>
      <c r="B460" t="s">
        <v>163</v>
      </c>
      <c r="C460" t="s">
        <v>1416</v>
      </c>
      <c r="D460" t="s">
        <v>1417</v>
      </c>
      <c r="E460" s="2">
        <v>46239</v>
      </c>
      <c r="F460" s="2">
        <v>46254</v>
      </c>
      <c r="G460">
        <v>20230.62</v>
      </c>
      <c r="H460" t="s">
        <v>15</v>
      </c>
      <c r="I460" t="s">
        <v>29</v>
      </c>
      <c r="J460" t="s">
        <v>17</v>
      </c>
      <c r="K460" t="s">
        <v>18</v>
      </c>
    </row>
    <row r="461" spans="1:11" x14ac:dyDescent="0.25">
      <c r="A461" t="s">
        <v>1418</v>
      </c>
      <c r="B461" t="s">
        <v>49</v>
      </c>
      <c r="C461" t="s">
        <v>1419</v>
      </c>
      <c r="D461" t="s">
        <v>1420</v>
      </c>
      <c r="E461" s="2">
        <v>46105</v>
      </c>
      <c r="F461" s="2">
        <v>46135</v>
      </c>
      <c r="G461">
        <v>24590.29</v>
      </c>
      <c r="H461" t="s">
        <v>15</v>
      </c>
      <c r="I461" t="s">
        <v>29</v>
      </c>
      <c r="J461" t="s">
        <v>17</v>
      </c>
      <c r="K461" t="s">
        <v>18</v>
      </c>
    </row>
    <row r="462" spans="1:11" x14ac:dyDescent="0.25">
      <c r="A462" t="s">
        <v>1421</v>
      </c>
      <c r="B462" t="s">
        <v>32</v>
      </c>
      <c r="C462" t="s">
        <v>1422</v>
      </c>
      <c r="D462" t="s">
        <v>1423</v>
      </c>
      <c r="E462" s="2">
        <v>46039</v>
      </c>
      <c r="F462" s="2">
        <v>46069</v>
      </c>
      <c r="G462">
        <v>9044.02</v>
      </c>
      <c r="H462" t="s">
        <v>15</v>
      </c>
      <c r="I462" t="s">
        <v>39</v>
      </c>
      <c r="J462" t="s">
        <v>17</v>
      </c>
      <c r="K462" t="s">
        <v>24</v>
      </c>
    </row>
    <row r="463" spans="1:11" x14ac:dyDescent="0.25">
      <c r="A463" t="s">
        <v>1424</v>
      </c>
      <c r="B463" t="s">
        <v>32</v>
      </c>
      <c r="C463" t="s">
        <v>1425</v>
      </c>
      <c r="D463" t="s">
        <v>1426</v>
      </c>
      <c r="E463" s="2">
        <v>46222</v>
      </c>
      <c r="F463" s="2">
        <v>46252</v>
      </c>
      <c r="G463">
        <v>6031.38</v>
      </c>
      <c r="H463" t="s">
        <v>15</v>
      </c>
      <c r="I463" t="s">
        <v>16</v>
      </c>
      <c r="J463" t="s">
        <v>17</v>
      </c>
      <c r="K463" t="s">
        <v>63</v>
      </c>
    </row>
    <row r="464" spans="1:11" x14ac:dyDescent="0.25">
      <c r="A464" t="s">
        <v>1427</v>
      </c>
      <c r="B464" t="s">
        <v>85</v>
      </c>
      <c r="C464" t="s">
        <v>1428</v>
      </c>
      <c r="D464" t="s">
        <v>1429</v>
      </c>
      <c r="E464" s="2">
        <v>46183</v>
      </c>
      <c r="F464" s="2">
        <v>46228</v>
      </c>
      <c r="G464">
        <v>51028.45</v>
      </c>
      <c r="H464" t="s">
        <v>15</v>
      </c>
      <c r="I464" t="s">
        <v>23</v>
      </c>
      <c r="J464" t="s">
        <v>17</v>
      </c>
      <c r="K464" t="s">
        <v>63</v>
      </c>
    </row>
    <row r="465" spans="1:11" x14ac:dyDescent="0.25">
      <c r="A465" t="s">
        <v>1430</v>
      </c>
      <c r="B465" t="s">
        <v>20</v>
      </c>
      <c r="C465" t="s">
        <v>1431</v>
      </c>
      <c r="D465" t="s">
        <v>1432</v>
      </c>
      <c r="E465" s="2">
        <v>46211</v>
      </c>
      <c r="F465" s="2">
        <v>46226</v>
      </c>
      <c r="G465">
        <v>18907.080000000002</v>
      </c>
      <c r="H465" t="s">
        <v>15</v>
      </c>
      <c r="I465" t="s">
        <v>39</v>
      </c>
      <c r="J465" t="s">
        <v>17</v>
      </c>
      <c r="K465" t="s">
        <v>63</v>
      </c>
    </row>
    <row r="466" spans="1:11" x14ac:dyDescent="0.25">
      <c r="A466" t="s">
        <v>1433</v>
      </c>
      <c r="B466" t="s">
        <v>112</v>
      </c>
      <c r="C466" t="s">
        <v>1434</v>
      </c>
      <c r="D466" t="s">
        <v>1435</v>
      </c>
      <c r="E466" s="2">
        <v>46113</v>
      </c>
      <c r="F466" s="2">
        <v>46128</v>
      </c>
      <c r="G466">
        <v>58686.63</v>
      </c>
      <c r="H466" t="s">
        <v>15</v>
      </c>
      <c r="I466" t="s">
        <v>16</v>
      </c>
      <c r="J466" t="s">
        <v>17</v>
      </c>
      <c r="K466" t="s">
        <v>24</v>
      </c>
    </row>
    <row r="467" spans="1:11" x14ac:dyDescent="0.25">
      <c r="A467" t="s">
        <v>1436</v>
      </c>
      <c r="B467" t="s">
        <v>49</v>
      </c>
      <c r="C467" t="s">
        <v>1437</v>
      </c>
      <c r="D467" t="s">
        <v>1438</v>
      </c>
      <c r="E467" s="2">
        <v>46089</v>
      </c>
      <c r="F467" s="2">
        <v>46119</v>
      </c>
      <c r="G467">
        <v>4123.91</v>
      </c>
      <c r="H467" t="s">
        <v>15</v>
      </c>
      <c r="I467" t="s">
        <v>16</v>
      </c>
      <c r="J467" t="s">
        <v>17</v>
      </c>
      <c r="K467" t="s">
        <v>18</v>
      </c>
    </row>
    <row r="468" spans="1:11" x14ac:dyDescent="0.25">
      <c r="A468" t="s">
        <v>1439</v>
      </c>
      <c r="B468" t="s">
        <v>122</v>
      </c>
      <c r="C468" t="s">
        <v>1440</v>
      </c>
      <c r="D468" t="s">
        <v>1441</v>
      </c>
      <c r="E468" s="2">
        <v>46188</v>
      </c>
      <c r="F468" s="2">
        <v>46203</v>
      </c>
      <c r="G468">
        <v>14970.38</v>
      </c>
      <c r="H468" t="s">
        <v>15</v>
      </c>
      <c r="I468" t="s">
        <v>39</v>
      </c>
      <c r="J468" t="s">
        <v>17</v>
      </c>
      <c r="K468" t="s">
        <v>24</v>
      </c>
    </row>
    <row r="469" spans="1:11" x14ac:dyDescent="0.25">
      <c r="A469" t="s">
        <v>1442</v>
      </c>
      <c r="B469" t="s">
        <v>32</v>
      </c>
      <c r="C469" t="s">
        <v>1443</v>
      </c>
      <c r="D469" t="s">
        <v>1444</v>
      </c>
      <c r="E469" s="2">
        <v>46206</v>
      </c>
      <c r="F469" s="2">
        <v>46236</v>
      </c>
      <c r="G469">
        <v>1933.27</v>
      </c>
      <c r="H469" t="s">
        <v>15</v>
      </c>
      <c r="I469" t="s">
        <v>23</v>
      </c>
      <c r="J469" t="s">
        <v>17</v>
      </c>
      <c r="K469" t="s">
        <v>24</v>
      </c>
    </row>
    <row r="470" spans="1:11" x14ac:dyDescent="0.25">
      <c r="A470" t="s">
        <v>1445</v>
      </c>
      <c r="B470" t="s">
        <v>12</v>
      </c>
      <c r="C470" t="s">
        <v>1446</v>
      </c>
      <c r="D470" t="s">
        <v>1447</v>
      </c>
      <c r="E470" s="2">
        <v>46235</v>
      </c>
      <c r="F470" s="2">
        <v>46250</v>
      </c>
      <c r="G470">
        <v>13631.83</v>
      </c>
      <c r="H470" t="s">
        <v>15</v>
      </c>
      <c r="I470" t="s">
        <v>23</v>
      </c>
      <c r="J470" t="s">
        <v>17</v>
      </c>
      <c r="K470" t="s">
        <v>63</v>
      </c>
    </row>
    <row r="471" spans="1:11" x14ac:dyDescent="0.25">
      <c r="A471" t="s">
        <v>1448</v>
      </c>
      <c r="B471" t="s">
        <v>57</v>
      </c>
      <c r="C471" t="s">
        <v>1449</v>
      </c>
      <c r="D471" t="s">
        <v>1450</v>
      </c>
      <c r="E471" s="2">
        <v>46173</v>
      </c>
      <c r="F471" s="2">
        <v>46218</v>
      </c>
      <c r="G471">
        <v>5554.92</v>
      </c>
      <c r="H471" t="s">
        <v>15</v>
      </c>
      <c r="I471" t="s">
        <v>23</v>
      </c>
      <c r="J471" t="s">
        <v>17</v>
      </c>
      <c r="K471" t="s">
        <v>24</v>
      </c>
    </row>
    <row r="472" spans="1:11" x14ac:dyDescent="0.25">
      <c r="A472" t="s">
        <v>1451</v>
      </c>
      <c r="B472" t="s">
        <v>71</v>
      </c>
      <c r="C472" t="s">
        <v>1452</v>
      </c>
      <c r="D472" t="s">
        <v>1453</v>
      </c>
      <c r="E472" s="2">
        <v>46081</v>
      </c>
      <c r="F472" s="2">
        <v>46096</v>
      </c>
      <c r="G472">
        <v>16763.189999999999</v>
      </c>
      <c r="H472" t="s">
        <v>15</v>
      </c>
      <c r="I472" t="s">
        <v>23</v>
      </c>
      <c r="J472" t="s">
        <v>17</v>
      </c>
      <c r="K472" t="s">
        <v>18</v>
      </c>
    </row>
    <row r="473" spans="1:11" x14ac:dyDescent="0.25">
      <c r="A473" t="s">
        <v>1454</v>
      </c>
      <c r="B473" t="s">
        <v>26</v>
      </c>
      <c r="C473" t="s">
        <v>1455</v>
      </c>
      <c r="D473" t="s">
        <v>1456</v>
      </c>
      <c r="E473" s="2">
        <v>46218</v>
      </c>
      <c r="F473" s="2">
        <v>46248</v>
      </c>
      <c r="G473">
        <v>22908.400000000001</v>
      </c>
      <c r="H473" t="s">
        <v>15</v>
      </c>
      <c r="I473" t="s">
        <v>16</v>
      </c>
      <c r="J473" t="s">
        <v>17</v>
      </c>
      <c r="K473" t="s">
        <v>24</v>
      </c>
    </row>
    <row r="474" spans="1:11" x14ac:dyDescent="0.25">
      <c r="A474" t="s">
        <v>1457</v>
      </c>
      <c r="B474" t="s">
        <v>57</v>
      </c>
      <c r="C474" t="s">
        <v>1458</v>
      </c>
      <c r="D474" t="s">
        <v>1459</v>
      </c>
      <c r="E474" s="2">
        <v>46286</v>
      </c>
      <c r="F474" s="2">
        <v>46331</v>
      </c>
      <c r="G474">
        <v>20094.080000000002</v>
      </c>
      <c r="H474" t="s">
        <v>15</v>
      </c>
      <c r="I474" t="s">
        <v>23</v>
      </c>
      <c r="J474" t="s">
        <v>17</v>
      </c>
      <c r="K474" t="s">
        <v>24</v>
      </c>
    </row>
    <row r="475" spans="1:11" x14ac:dyDescent="0.25">
      <c r="A475" t="s">
        <v>1460</v>
      </c>
      <c r="B475" t="s">
        <v>102</v>
      </c>
      <c r="C475" t="s">
        <v>1461</v>
      </c>
      <c r="D475" t="s">
        <v>1462</v>
      </c>
      <c r="E475" s="2">
        <v>46072</v>
      </c>
      <c r="F475" s="2">
        <v>46117</v>
      </c>
      <c r="G475">
        <v>4284.78</v>
      </c>
      <c r="H475" t="s">
        <v>15</v>
      </c>
      <c r="I475" t="s">
        <v>29</v>
      </c>
      <c r="J475" t="s">
        <v>30</v>
      </c>
      <c r="K475" t="s">
        <v>24</v>
      </c>
    </row>
    <row r="476" spans="1:11" x14ac:dyDescent="0.25">
      <c r="A476" t="s">
        <v>1463</v>
      </c>
      <c r="B476" t="s">
        <v>53</v>
      </c>
      <c r="C476" t="s">
        <v>1464</v>
      </c>
      <c r="D476" t="s">
        <v>1465</v>
      </c>
      <c r="E476" s="2">
        <v>46240</v>
      </c>
      <c r="F476" s="2">
        <v>46270</v>
      </c>
      <c r="G476">
        <v>20911.349999999999</v>
      </c>
      <c r="H476" t="s">
        <v>15</v>
      </c>
      <c r="I476" t="s">
        <v>39</v>
      </c>
      <c r="J476" t="s">
        <v>30</v>
      </c>
      <c r="K476" t="s">
        <v>24</v>
      </c>
    </row>
    <row r="477" spans="1:11" x14ac:dyDescent="0.25">
      <c r="A477" t="s">
        <v>1466</v>
      </c>
      <c r="B477" t="s">
        <v>122</v>
      </c>
      <c r="C477" t="s">
        <v>1467</v>
      </c>
      <c r="D477" t="s">
        <v>1468</v>
      </c>
      <c r="E477" s="2">
        <v>46035</v>
      </c>
      <c r="F477" s="2">
        <v>46050</v>
      </c>
      <c r="G477">
        <v>11545.52</v>
      </c>
      <c r="H477" t="s">
        <v>15</v>
      </c>
      <c r="I477" t="s">
        <v>29</v>
      </c>
      <c r="J477" t="s">
        <v>17</v>
      </c>
      <c r="K477" t="s">
        <v>24</v>
      </c>
    </row>
    <row r="478" spans="1:11" x14ac:dyDescent="0.25">
      <c r="A478" t="s">
        <v>1469</v>
      </c>
      <c r="B478" t="s">
        <v>102</v>
      </c>
      <c r="C478" t="s">
        <v>1470</v>
      </c>
      <c r="D478" t="s">
        <v>1471</v>
      </c>
      <c r="E478" s="2">
        <v>46139</v>
      </c>
      <c r="F478" s="2">
        <v>46184</v>
      </c>
      <c r="G478">
        <v>22785.35</v>
      </c>
      <c r="H478" t="s">
        <v>15</v>
      </c>
      <c r="I478" t="s">
        <v>16</v>
      </c>
      <c r="J478" t="s">
        <v>17</v>
      </c>
      <c r="K478" t="s">
        <v>63</v>
      </c>
    </row>
    <row r="479" spans="1:11" x14ac:dyDescent="0.25">
      <c r="A479" t="s">
        <v>1472</v>
      </c>
      <c r="B479" t="s">
        <v>45</v>
      </c>
      <c r="C479" t="s">
        <v>1473</v>
      </c>
      <c r="D479" t="s">
        <v>1474</v>
      </c>
      <c r="E479" s="2">
        <v>46296</v>
      </c>
      <c r="F479" s="2">
        <v>46326</v>
      </c>
      <c r="G479">
        <v>266.77</v>
      </c>
      <c r="H479" t="s">
        <v>15</v>
      </c>
      <c r="I479" t="s">
        <v>39</v>
      </c>
      <c r="J479" t="s">
        <v>30</v>
      </c>
      <c r="K479" t="s">
        <v>18</v>
      </c>
    </row>
    <row r="480" spans="1:11" x14ac:dyDescent="0.25">
      <c r="A480" t="s">
        <v>1475</v>
      </c>
      <c r="B480" t="s">
        <v>57</v>
      </c>
      <c r="C480" t="s">
        <v>1476</v>
      </c>
      <c r="D480" t="s">
        <v>1477</v>
      </c>
      <c r="E480" s="2">
        <v>46280</v>
      </c>
      <c r="F480" s="2">
        <v>46325</v>
      </c>
      <c r="G480">
        <v>2760.65</v>
      </c>
      <c r="H480" t="s">
        <v>15</v>
      </c>
      <c r="I480" t="s">
        <v>29</v>
      </c>
      <c r="J480" t="s">
        <v>17</v>
      </c>
      <c r="K480" t="s">
        <v>63</v>
      </c>
    </row>
    <row r="481" spans="1:11" x14ac:dyDescent="0.25">
      <c r="A481" t="s">
        <v>1478</v>
      </c>
      <c r="B481" t="s">
        <v>41</v>
      </c>
      <c r="C481" t="s">
        <v>1479</v>
      </c>
      <c r="D481" t="s">
        <v>1480</v>
      </c>
      <c r="E481" s="2">
        <v>46225</v>
      </c>
      <c r="F481" s="2">
        <v>46240</v>
      </c>
      <c r="G481">
        <v>30471.32</v>
      </c>
      <c r="H481" t="s">
        <v>15</v>
      </c>
      <c r="I481" t="s">
        <v>39</v>
      </c>
      <c r="J481" t="s">
        <v>17</v>
      </c>
      <c r="K481" t="s">
        <v>24</v>
      </c>
    </row>
    <row r="482" spans="1:11" x14ac:dyDescent="0.25">
      <c r="A482" t="s">
        <v>1481</v>
      </c>
      <c r="B482" t="s">
        <v>163</v>
      </c>
      <c r="C482" t="s">
        <v>1482</v>
      </c>
      <c r="D482" t="s">
        <v>1483</v>
      </c>
      <c r="E482" s="2">
        <v>46096</v>
      </c>
      <c r="F482" s="2">
        <v>46111</v>
      </c>
      <c r="G482">
        <v>7535.65</v>
      </c>
      <c r="H482" t="s">
        <v>15</v>
      </c>
      <c r="I482" t="s">
        <v>23</v>
      </c>
      <c r="J482" t="s">
        <v>30</v>
      </c>
      <c r="K482" t="s">
        <v>24</v>
      </c>
    </row>
    <row r="483" spans="1:11" x14ac:dyDescent="0.25">
      <c r="A483" t="s">
        <v>1484</v>
      </c>
      <c r="B483" t="s">
        <v>122</v>
      </c>
      <c r="C483" t="s">
        <v>1485</v>
      </c>
      <c r="D483" t="s">
        <v>1486</v>
      </c>
      <c r="E483" s="2">
        <v>46086</v>
      </c>
      <c r="F483" s="2">
        <v>46101</v>
      </c>
      <c r="G483">
        <v>1159.32</v>
      </c>
      <c r="H483" t="s">
        <v>15</v>
      </c>
      <c r="I483" t="s">
        <v>16</v>
      </c>
      <c r="J483" t="s">
        <v>30</v>
      </c>
      <c r="K483" t="s">
        <v>18</v>
      </c>
    </row>
    <row r="484" spans="1:11" x14ac:dyDescent="0.25">
      <c r="A484" t="s">
        <v>1487</v>
      </c>
      <c r="B484" t="s">
        <v>57</v>
      </c>
      <c r="C484" t="s">
        <v>1488</v>
      </c>
      <c r="D484" t="s">
        <v>1489</v>
      </c>
      <c r="E484" s="2">
        <v>46131</v>
      </c>
      <c r="F484" s="2">
        <v>46176</v>
      </c>
      <c r="G484">
        <v>10386.84</v>
      </c>
      <c r="H484" t="s">
        <v>15</v>
      </c>
      <c r="I484" t="s">
        <v>29</v>
      </c>
      <c r="J484" t="s">
        <v>17</v>
      </c>
      <c r="K484" t="s">
        <v>63</v>
      </c>
    </row>
    <row r="485" spans="1:11" x14ac:dyDescent="0.25">
      <c r="A485" t="s">
        <v>1490</v>
      </c>
      <c r="B485" t="s">
        <v>53</v>
      </c>
      <c r="C485" t="s">
        <v>1491</v>
      </c>
      <c r="D485" t="s">
        <v>1492</v>
      </c>
      <c r="E485" s="2">
        <v>46081</v>
      </c>
      <c r="F485" s="2">
        <v>46111</v>
      </c>
      <c r="G485">
        <v>4632.1899999999996</v>
      </c>
      <c r="H485" t="s">
        <v>15</v>
      </c>
      <c r="I485" t="s">
        <v>39</v>
      </c>
      <c r="J485" t="s">
        <v>17</v>
      </c>
      <c r="K485" t="s">
        <v>24</v>
      </c>
    </row>
    <row r="486" spans="1:11" x14ac:dyDescent="0.25">
      <c r="A486" t="s">
        <v>1493</v>
      </c>
      <c r="B486" t="s">
        <v>112</v>
      </c>
      <c r="C486" t="s">
        <v>1494</v>
      </c>
      <c r="D486" t="s">
        <v>1495</v>
      </c>
      <c r="E486" s="2">
        <v>46304</v>
      </c>
      <c r="F486" s="2">
        <v>46319</v>
      </c>
      <c r="G486">
        <v>1939.84</v>
      </c>
      <c r="H486" t="s">
        <v>15</v>
      </c>
      <c r="I486" t="s">
        <v>29</v>
      </c>
      <c r="J486" t="s">
        <v>17</v>
      </c>
      <c r="K486" t="s">
        <v>63</v>
      </c>
    </row>
    <row r="487" spans="1:11" x14ac:dyDescent="0.25">
      <c r="A487" t="s">
        <v>1496</v>
      </c>
      <c r="B487" t="s">
        <v>57</v>
      </c>
      <c r="C487" t="s">
        <v>1497</v>
      </c>
      <c r="D487" t="s">
        <v>1498</v>
      </c>
      <c r="E487" s="2">
        <v>46088</v>
      </c>
      <c r="F487" s="2">
        <v>46133</v>
      </c>
      <c r="G487">
        <v>16821.830000000002</v>
      </c>
      <c r="H487" t="s">
        <v>15</v>
      </c>
      <c r="I487" t="s">
        <v>29</v>
      </c>
      <c r="J487" t="s">
        <v>17</v>
      </c>
      <c r="K487" t="s">
        <v>63</v>
      </c>
    </row>
    <row r="488" spans="1:11" x14ac:dyDescent="0.25">
      <c r="A488" t="s">
        <v>1499</v>
      </c>
      <c r="B488" t="s">
        <v>112</v>
      </c>
      <c r="C488" t="s">
        <v>1500</v>
      </c>
      <c r="D488" t="s">
        <v>1501</v>
      </c>
      <c r="E488" s="2">
        <v>46191</v>
      </c>
      <c r="F488" s="2">
        <v>46206</v>
      </c>
      <c r="G488">
        <v>15454.6</v>
      </c>
      <c r="H488" t="s">
        <v>15</v>
      </c>
      <c r="I488" t="s">
        <v>16</v>
      </c>
      <c r="J488" t="s">
        <v>17</v>
      </c>
      <c r="K488" t="s">
        <v>63</v>
      </c>
    </row>
    <row r="489" spans="1:11" x14ac:dyDescent="0.25">
      <c r="A489" t="s">
        <v>1502</v>
      </c>
      <c r="B489" t="s">
        <v>85</v>
      </c>
      <c r="C489" t="s">
        <v>1503</v>
      </c>
      <c r="D489" t="s">
        <v>1504</v>
      </c>
      <c r="E489" s="2">
        <v>46109</v>
      </c>
      <c r="F489" s="2">
        <v>46154</v>
      </c>
      <c r="G489">
        <v>240.22</v>
      </c>
      <c r="H489" t="s">
        <v>15</v>
      </c>
      <c r="I489" t="s">
        <v>39</v>
      </c>
      <c r="J489" t="s">
        <v>17</v>
      </c>
      <c r="K489" t="s">
        <v>63</v>
      </c>
    </row>
    <row r="490" spans="1:11" x14ac:dyDescent="0.25">
      <c r="A490" t="s">
        <v>1505</v>
      </c>
      <c r="B490" t="s">
        <v>122</v>
      </c>
      <c r="C490" t="s">
        <v>1506</v>
      </c>
      <c r="D490" t="s">
        <v>1507</v>
      </c>
      <c r="E490" s="2">
        <v>46192</v>
      </c>
      <c r="F490" s="2">
        <v>46207</v>
      </c>
      <c r="G490">
        <v>21961.8</v>
      </c>
      <c r="H490" t="s">
        <v>15</v>
      </c>
      <c r="I490" t="s">
        <v>16</v>
      </c>
      <c r="J490" t="s">
        <v>17</v>
      </c>
      <c r="K490" t="s">
        <v>18</v>
      </c>
    </row>
    <row r="491" spans="1:11" x14ac:dyDescent="0.25">
      <c r="A491" t="s">
        <v>1508</v>
      </c>
      <c r="B491" t="s">
        <v>138</v>
      </c>
      <c r="C491" t="s">
        <v>1509</v>
      </c>
      <c r="D491" t="s">
        <v>1510</v>
      </c>
      <c r="E491" s="2">
        <v>46064</v>
      </c>
      <c r="F491" s="2">
        <v>46109</v>
      </c>
      <c r="G491">
        <v>21063.81</v>
      </c>
      <c r="H491" t="s">
        <v>15</v>
      </c>
      <c r="I491" t="s">
        <v>29</v>
      </c>
      <c r="J491" t="s">
        <v>17</v>
      </c>
      <c r="K491" t="s">
        <v>24</v>
      </c>
    </row>
    <row r="492" spans="1:11" x14ac:dyDescent="0.25">
      <c r="A492" t="s">
        <v>1511</v>
      </c>
      <c r="B492" t="s">
        <v>102</v>
      </c>
      <c r="C492" t="s">
        <v>1512</v>
      </c>
      <c r="D492" t="s">
        <v>1513</v>
      </c>
      <c r="E492" s="2">
        <v>46061</v>
      </c>
      <c r="F492" s="2">
        <v>46106</v>
      </c>
      <c r="G492">
        <v>22315.58</v>
      </c>
      <c r="H492" t="s">
        <v>15</v>
      </c>
      <c r="I492" t="s">
        <v>39</v>
      </c>
      <c r="J492" t="s">
        <v>17</v>
      </c>
      <c r="K492" t="s">
        <v>24</v>
      </c>
    </row>
    <row r="493" spans="1:11" x14ac:dyDescent="0.25">
      <c r="A493" t="s">
        <v>1514</v>
      </c>
      <c r="B493" t="s">
        <v>53</v>
      </c>
      <c r="C493" t="s">
        <v>1515</v>
      </c>
      <c r="D493" t="s">
        <v>1516</v>
      </c>
      <c r="E493" s="2">
        <v>46041</v>
      </c>
      <c r="F493" s="2">
        <v>46071</v>
      </c>
      <c r="G493">
        <v>13843.66</v>
      </c>
      <c r="H493" t="s">
        <v>15</v>
      </c>
      <c r="I493" t="s">
        <v>16</v>
      </c>
      <c r="J493" t="s">
        <v>17</v>
      </c>
      <c r="K493" t="s">
        <v>63</v>
      </c>
    </row>
    <row r="494" spans="1:11" x14ac:dyDescent="0.25">
      <c r="A494" t="s">
        <v>1517</v>
      </c>
      <c r="B494" t="s">
        <v>20</v>
      </c>
      <c r="C494" t="s">
        <v>1518</v>
      </c>
      <c r="D494" t="s">
        <v>1519</v>
      </c>
      <c r="E494" s="2">
        <v>46171</v>
      </c>
      <c r="F494" s="2">
        <v>46186</v>
      </c>
      <c r="G494">
        <v>3450.97</v>
      </c>
      <c r="H494" t="s">
        <v>15</v>
      </c>
      <c r="I494" t="s">
        <v>16</v>
      </c>
      <c r="J494" t="s">
        <v>30</v>
      </c>
      <c r="K494" t="s">
        <v>18</v>
      </c>
    </row>
    <row r="495" spans="1:11" x14ac:dyDescent="0.25">
      <c r="A495" t="s">
        <v>1520</v>
      </c>
      <c r="B495" t="s">
        <v>138</v>
      </c>
      <c r="C495" t="s">
        <v>1521</v>
      </c>
      <c r="D495" t="s">
        <v>1522</v>
      </c>
      <c r="E495" s="2">
        <v>46107</v>
      </c>
      <c r="F495" s="2">
        <v>46152</v>
      </c>
      <c r="G495">
        <v>18959.29</v>
      </c>
      <c r="H495" t="s">
        <v>15</v>
      </c>
      <c r="I495" t="s">
        <v>16</v>
      </c>
      <c r="J495" t="s">
        <v>17</v>
      </c>
      <c r="K495" t="s">
        <v>18</v>
      </c>
    </row>
    <row r="496" spans="1:11" x14ac:dyDescent="0.25">
      <c r="A496" t="s">
        <v>1523</v>
      </c>
      <c r="B496" t="s">
        <v>75</v>
      </c>
      <c r="C496" t="s">
        <v>1524</v>
      </c>
      <c r="D496" t="s">
        <v>1525</v>
      </c>
      <c r="E496" s="2">
        <v>46206</v>
      </c>
      <c r="F496" s="2">
        <v>46221</v>
      </c>
      <c r="G496">
        <v>1125.6500000000001</v>
      </c>
      <c r="H496" t="s">
        <v>15</v>
      </c>
      <c r="I496" t="s">
        <v>16</v>
      </c>
      <c r="J496" t="s">
        <v>17</v>
      </c>
      <c r="K496" t="s">
        <v>24</v>
      </c>
    </row>
    <row r="497" spans="1:11" x14ac:dyDescent="0.25">
      <c r="A497" t="s">
        <v>1526</v>
      </c>
      <c r="B497" t="s">
        <v>53</v>
      </c>
      <c r="C497" t="s">
        <v>1527</v>
      </c>
      <c r="D497" t="s">
        <v>1528</v>
      </c>
      <c r="E497" s="2">
        <v>46288</v>
      </c>
      <c r="F497" s="2">
        <v>46318</v>
      </c>
      <c r="G497">
        <v>22704.23</v>
      </c>
      <c r="H497" t="s">
        <v>15</v>
      </c>
      <c r="I497" t="s">
        <v>23</v>
      </c>
      <c r="J497" t="s">
        <v>30</v>
      </c>
      <c r="K497" t="s">
        <v>24</v>
      </c>
    </row>
    <row r="498" spans="1:11" x14ac:dyDescent="0.25">
      <c r="A498" t="s">
        <v>1529</v>
      </c>
      <c r="B498" t="s">
        <v>26</v>
      </c>
      <c r="C498" t="s">
        <v>1530</v>
      </c>
      <c r="D498" t="s">
        <v>1531</v>
      </c>
      <c r="E498" s="2">
        <v>46075</v>
      </c>
      <c r="F498" s="2">
        <v>46105</v>
      </c>
      <c r="G498">
        <v>17628.96</v>
      </c>
      <c r="H498" t="s">
        <v>15</v>
      </c>
      <c r="I498" t="s">
        <v>39</v>
      </c>
      <c r="J498" t="s">
        <v>17</v>
      </c>
      <c r="K498" t="s">
        <v>24</v>
      </c>
    </row>
    <row r="499" spans="1:11" x14ac:dyDescent="0.25">
      <c r="A499" t="s">
        <v>1532</v>
      </c>
      <c r="B499" t="s">
        <v>12</v>
      </c>
      <c r="C499" t="s">
        <v>1533</v>
      </c>
      <c r="D499" t="s">
        <v>1534</v>
      </c>
      <c r="E499" s="2">
        <v>46215</v>
      </c>
      <c r="F499" s="2">
        <v>46230</v>
      </c>
      <c r="G499">
        <v>16383.44</v>
      </c>
      <c r="H499" t="s">
        <v>15</v>
      </c>
      <c r="I499" t="s">
        <v>29</v>
      </c>
      <c r="J499" t="s">
        <v>17</v>
      </c>
      <c r="K499" t="s">
        <v>18</v>
      </c>
    </row>
    <row r="500" spans="1:11" x14ac:dyDescent="0.25">
      <c r="A500" t="s">
        <v>1535</v>
      </c>
      <c r="B500" t="s">
        <v>36</v>
      </c>
      <c r="C500" t="s">
        <v>1536</v>
      </c>
      <c r="D500" t="s">
        <v>1537</v>
      </c>
      <c r="E500" s="2">
        <v>46230</v>
      </c>
      <c r="F500" s="2">
        <v>46260</v>
      </c>
      <c r="G500">
        <v>8900.1</v>
      </c>
      <c r="H500" t="s">
        <v>15</v>
      </c>
      <c r="I500" t="s">
        <v>16</v>
      </c>
      <c r="J500" t="s">
        <v>17</v>
      </c>
      <c r="K500" t="s">
        <v>24</v>
      </c>
    </row>
    <row r="501" spans="1:11" x14ac:dyDescent="0.25">
      <c r="A501" t="s">
        <v>1538</v>
      </c>
      <c r="B501" t="s">
        <v>122</v>
      </c>
      <c r="C501" t="s">
        <v>1539</v>
      </c>
      <c r="D501" t="s">
        <v>1540</v>
      </c>
      <c r="E501" s="2">
        <v>46248</v>
      </c>
      <c r="F501" s="2">
        <v>46263</v>
      </c>
      <c r="G501">
        <v>47521.7</v>
      </c>
      <c r="H501" t="s">
        <v>15</v>
      </c>
      <c r="I501" t="s">
        <v>29</v>
      </c>
      <c r="J501" t="s">
        <v>17</v>
      </c>
      <c r="K501" t="s">
        <v>24</v>
      </c>
    </row>
    <row r="502" spans="1:11" x14ac:dyDescent="0.25">
      <c r="A502" t="s">
        <v>1541</v>
      </c>
      <c r="B502" t="s">
        <v>12</v>
      </c>
      <c r="C502" t="s">
        <v>1296</v>
      </c>
      <c r="D502" t="s">
        <v>1297</v>
      </c>
      <c r="E502" s="2">
        <v>46104</v>
      </c>
      <c r="F502" s="2">
        <v>46134</v>
      </c>
      <c r="G502">
        <v>12300.68</v>
      </c>
      <c r="H502" t="s">
        <v>15</v>
      </c>
      <c r="I502" t="s">
        <v>16</v>
      </c>
      <c r="J502" t="s">
        <v>17</v>
      </c>
      <c r="K502" t="s">
        <v>63</v>
      </c>
    </row>
    <row r="503" spans="1:11" x14ac:dyDescent="0.25">
      <c r="A503" t="s">
        <v>1542</v>
      </c>
      <c r="B503" t="s">
        <v>20</v>
      </c>
      <c r="C503" t="s">
        <v>222</v>
      </c>
      <c r="D503" t="s">
        <v>223</v>
      </c>
      <c r="E503" s="2">
        <v>46087</v>
      </c>
      <c r="F503" s="2">
        <v>46117</v>
      </c>
      <c r="G503">
        <v>11902.2</v>
      </c>
      <c r="H503" t="s">
        <v>15</v>
      </c>
      <c r="I503" t="s">
        <v>39</v>
      </c>
      <c r="J503" t="s">
        <v>17</v>
      </c>
      <c r="K503" t="s">
        <v>18</v>
      </c>
    </row>
    <row r="504" spans="1:11" x14ac:dyDescent="0.25">
      <c r="A504" t="s">
        <v>1543</v>
      </c>
      <c r="B504" t="s">
        <v>45</v>
      </c>
      <c r="C504" t="s">
        <v>1056</v>
      </c>
      <c r="D504" t="s">
        <v>1057</v>
      </c>
      <c r="E504" s="2">
        <v>46040</v>
      </c>
      <c r="F504" s="2">
        <v>46070</v>
      </c>
      <c r="G504">
        <v>8455.07</v>
      </c>
      <c r="H504" t="s">
        <v>15</v>
      </c>
      <c r="I504" t="s">
        <v>16</v>
      </c>
      <c r="J504" t="s">
        <v>17</v>
      </c>
      <c r="K504" t="s">
        <v>24</v>
      </c>
    </row>
    <row r="505" spans="1:11" x14ac:dyDescent="0.25">
      <c r="A505" t="s">
        <v>1544</v>
      </c>
      <c r="B505" t="s">
        <v>20</v>
      </c>
      <c r="C505" t="s">
        <v>393</v>
      </c>
      <c r="D505" t="s">
        <v>394</v>
      </c>
      <c r="E505" s="2">
        <v>46057</v>
      </c>
      <c r="F505" s="2">
        <v>46087</v>
      </c>
      <c r="G505">
        <v>15928.85</v>
      </c>
      <c r="H505" t="s">
        <v>15</v>
      </c>
      <c r="I505" t="s">
        <v>16</v>
      </c>
      <c r="J505" t="s">
        <v>30</v>
      </c>
      <c r="K505" t="s">
        <v>18</v>
      </c>
    </row>
    <row r="506" spans="1:11" x14ac:dyDescent="0.25">
      <c r="A506" t="s">
        <v>1545</v>
      </c>
      <c r="B506" t="s">
        <v>122</v>
      </c>
      <c r="C506" t="s">
        <v>678</v>
      </c>
      <c r="D506" t="s">
        <v>679</v>
      </c>
      <c r="E506" s="2">
        <v>46190</v>
      </c>
      <c r="F506" s="2">
        <v>46220</v>
      </c>
      <c r="G506">
        <v>23292.45</v>
      </c>
      <c r="H506" t="s">
        <v>15</v>
      </c>
      <c r="I506" t="s">
        <v>39</v>
      </c>
      <c r="J506" t="s">
        <v>17</v>
      </c>
      <c r="K506" t="s">
        <v>63</v>
      </c>
    </row>
    <row r="507" spans="1:11" x14ac:dyDescent="0.25">
      <c r="A507" t="s">
        <v>1546</v>
      </c>
      <c r="B507" t="s">
        <v>170</v>
      </c>
      <c r="C507" t="s">
        <v>1287</v>
      </c>
      <c r="D507" t="s">
        <v>1288</v>
      </c>
      <c r="E507" s="2">
        <v>46061</v>
      </c>
      <c r="F507" s="2">
        <v>46091</v>
      </c>
      <c r="G507">
        <v>11868.83</v>
      </c>
      <c r="H507" t="s">
        <v>15</v>
      </c>
      <c r="I507" t="s">
        <v>16</v>
      </c>
      <c r="J507" t="s">
        <v>17</v>
      </c>
      <c r="K507" t="s">
        <v>18</v>
      </c>
    </row>
    <row r="508" spans="1:11" x14ac:dyDescent="0.25">
      <c r="A508" t="s">
        <v>1547</v>
      </c>
      <c r="B508" t="s">
        <v>57</v>
      </c>
      <c r="C508" t="s">
        <v>549</v>
      </c>
      <c r="D508" t="s">
        <v>550</v>
      </c>
      <c r="E508" s="2">
        <v>46137</v>
      </c>
      <c r="F508" s="2">
        <v>46167</v>
      </c>
      <c r="G508">
        <v>821.31</v>
      </c>
      <c r="H508" t="s">
        <v>15</v>
      </c>
      <c r="I508" t="s">
        <v>39</v>
      </c>
      <c r="J508" t="s">
        <v>30</v>
      </c>
      <c r="K508" t="s">
        <v>63</v>
      </c>
    </row>
    <row r="509" spans="1:11" x14ac:dyDescent="0.25">
      <c r="A509" t="s">
        <v>1548</v>
      </c>
      <c r="B509" t="s">
        <v>170</v>
      </c>
      <c r="C509" t="s">
        <v>1146</v>
      </c>
      <c r="D509" t="s">
        <v>1147</v>
      </c>
      <c r="E509" s="2">
        <v>46095</v>
      </c>
      <c r="F509" s="2">
        <v>46125</v>
      </c>
      <c r="G509">
        <v>14130.15</v>
      </c>
      <c r="H509" t="s">
        <v>15</v>
      </c>
      <c r="I509" t="s">
        <v>16</v>
      </c>
      <c r="J509" t="s">
        <v>17</v>
      </c>
      <c r="K509" t="s">
        <v>18</v>
      </c>
    </row>
    <row r="510" spans="1:11" x14ac:dyDescent="0.25">
      <c r="A510" t="s">
        <v>1549</v>
      </c>
      <c r="B510" t="s">
        <v>49</v>
      </c>
      <c r="C510" t="s">
        <v>216</v>
      </c>
      <c r="D510" t="s">
        <v>217</v>
      </c>
      <c r="E510" s="2">
        <v>46238</v>
      </c>
      <c r="F510" s="2">
        <v>46268</v>
      </c>
      <c r="G510">
        <v>6396.52</v>
      </c>
      <c r="H510" t="s">
        <v>15</v>
      </c>
      <c r="I510" t="s">
        <v>16</v>
      </c>
      <c r="J510" t="s">
        <v>17</v>
      </c>
      <c r="K510" t="s">
        <v>63</v>
      </c>
    </row>
    <row r="511" spans="1:11" x14ac:dyDescent="0.25">
      <c r="A511" t="s">
        <v>1550</v>
      </c>
      <c r="B511" t="s">
        <v>57</v>
      </c>
      <c r="C511" t="s">
        <v>780</v>
      </c>
      <c r="D511" t="s">
        <v>781</v>
      </c>
      <c r="E511" s="2">
        <v>46103</v>
      </c>
      <c r="F511" s="2">
        <v>46133</v>
      </c>
      <c r="G511">
        <v>6978.17</v>
      </c>
      <c r="H511" t="s">
        <v>15</v>
      </c>
      <c r="I511" t="s">
        <v>39</v>
      </c>
      <c r="J511" t="s">
        <v>17</v>
      </c>
      <c r="K511" t="s">
        <v>18</v>
      </c>
    </row>
    <row r="512" spans="1:11" x14ac:dyDescent="0.25">
      <c r="A512" t="s">
        <v>1551</v>
      </c>
      <c r="B512" t="s">
        <v>138</v>
      </c>
      <c r="C512" t="s">
        <v>1077</v>
      </c>
      <c r="D512" t="s">
        <v>1078</v>
      </c>
      <c r="E512" s="2">
        <v>46147</v>
      </c>
      <c r="F512" s="2">
        <v>46177</v>
      </c>
      <c r="G512">
        <v>11662.5</v>
      </c>
      <c r="H512" t="s">
        <v>15</v>
      </c>
      <c r="I512" t="s">
        <v>39</v>
      </c>
      <c r="J512" t="s">
        <v>17</v>
      </c>
      <c r="K512" t="s">
        <v>24</v>
      </c>
    </row>
    <row r="513" spans="1:11" x14ac:dyDescent="0.25">
      <c r="A513" t="s">
        <v>1552</v>
      </c>
      <c r="B513" t="s">
        <v>71</v>
      </c>
      <c r="C513" t="s">
        <v>777</v>
      </c>
      <c r="D513" t="s">
        <v>778</v>
      </c>
      <c r="E513" s="2">
        <v>46177</v>
      </c>
      <c r="F513" s="2">
        <v>46207</v>
      </c>
      <c r="G513">
        <v>11639.54</v>
      </c>
      <c r="H513" t="s">
        <v>15</v>
      </c>
      <c r="I513" t="s">
        <v>16</v>
      </c>
      <c r="J513" t="s">
        <v>17</v>
      </c>
      <c r="K513" t="s">
        <v>63</v>
      </c>
    </row>
    <row r="514" spans="1:11" x14ac:dyDescent="0.25">
      <c r="A514" t="s">
        <v>1553</v>
      </c>
      <c r="B514" t="s">
        <v>170</v>
      </c>
      <c r="C514" t="s">
        <v>363</v>
      </c>
      <c r="D514" t="s">
        <v>364</v>
      </c>
      <c r="E514" s="2">
        <v>46177</v>
      </c>
      <c r="F514" s="2">
        <v>46207</v>
      </c>
      <c r="G514">
        <v>16016.79</v>
      </c>
      <c r="H514" t="s">
        <v>15</v>
      </c>
      <c r="I514" t="s">
        <v>39</v>
      </c>
      <c r="J514" t="s">
        <v>17</v>
      </c>
      <c r="K514" t="s">
        <v>63</v>
      </c>
    </row>
    <row r="515" spans="1:11" x14ac:dyDescent="0.25">
      <c r="A515" t="s">
        <v>1554</v>
      </c>
      <c r="B515" t="s">
        <v>138</v>
      </c>
      <c r="C515" t="s">
        <v>948</v>
      </c>
      <c r="D515" t="s">
        <v>949</v>
      </c>
      <c r="E515" s="2">
        <v>46068</v>
      </c>
      <c r="F515" s="2">
        <v>46098</v>
      </c>
      <c r="G515">
        <v>16842.099999999999</v>
      </c>
      <c r="H515" t="s">
        <v>15</v>
      </c>
      <c r="I515" t="s">
        <v>29</v>
      </c>
      <c r="J515" t="s">
        <v>17</v>
      </c>
      <c r="K515" t="s">
        <v>18</v>
      </c>
    </row>
    <row r="516" spans="1:11" x14ac:dyDescent="0.25">
      <c r="A516" t="s">
        <v>1555</v>
      </c>
      <c r="B516" t="s">
        <v>170</v>
      </c>
      <c r="C516" t="s">
        <v>288</v>
      </c>
      <c r="D516" t="s">
        <v>289</v>
      </c>
      <c r="E516" s="2">
        <v>46126</v>
      </c>
      <c r="F516" s="2">
        <v>46156</v>
      </c>
      <c r="G516">
        <v>10697.46</v>
      </c>
      <c r="H516" t="s">
        <v>15</v>
      </c>
      <c r="I516" t="s">
        <v>23</v>
      </c>
      <c r="J516" t="s">
        <v>17</v>
      </c>
      <c r="K516" t="s">
        <v>18</v>
      </c>
    </row>
    <row r="517" spans="1:11" x14ac:dyDescent="0.25">
      <c r="A517" t="s">
        <v>1556</v>
      </c>
      <c r="B517" t="s">
        <v>85</v>
      </c>
      <c r="C517" t="s">
        <v>1035</v>
      </c>
      <c r="D517" t="s">
        <v>1036</v>
      </c>
      <c r="E517" s="2">
        <v>46212</v>
      </c>
      <c r="F517" s="2">
        <v>46242</v>
      </c>
      <c r="G517">
        <v>13713.34</v>
      </c>
      <c r="H517" t="s">
        <v>15</v>
      </c>
      <c r="I517" t="s">
        <v>29</v>
      </c>
      <c r="J517" t="s">
        <v>17</v>
      </c>
      <c r="K517" t="s">
        <v>18</v>
      </c>
    </row>
    <row r="518" spans="1:11" x14ac:dyDescent="0.25">
      <c r="A518" t="s">
        <v>1557</v>
      </c>
      <c r="B518" t="s">
        <v>45</v>
      </c>
      <c r="C518" t="s">
        <v>1320</v>
      </c>
      <c r="D518" t="s">
        <v>1321</v>
      </c>
      <c r="E518" s="2">
        <v>46303</v>
      </c>
      <c r="F518" s="2">
        <v>46333</v>
      </c>
      <c r="G518">
        <v>6408.13</v>
      </c>
      <c r="H518" t="s">
        <v>15</v>
      </c>
      <c r="I518" t="s">
        <v>39</v>
      </c>
      <c r="J518" t="s">
        <v>30</v>
      </c>
      <c r="K518" t="s">
        <v>63</v>
      </c>
    </row>
    <row r="519" spans="1:11" x14ac:dyDescent="0.25">
      <c r="A519" t="s">
        <v>1558</v>
      </c>
      <c r="B519" t="s">
        <v>57</v>
      </c>
      <c r="C519" t="s">
        <v>672</v>
      </c>
      <c r="D519" t="s">
        <v>673</v>
      </c>
      <c r="E519" s="2">
        <v>46198</v>
      </c>
      <c r="F519" s="2">
        <v>46228</v>
      </c>
      <c r="G519">
        <v>13998.86</v>
      </c>
      <c r="H519" t="s">
        <v>15</v>
      </c>
      <c r="I519" t="s">
        <v>16</v>
      </c>
      <c r="J519" t="s">
        <v>17</v>
      </c>
      <c r="K519" t="s">
        <v>18</v>
      </c>
    </row>
    <row r="520" spans="1:11" x14ac:dyDescent="0.25">
      <c r="A520" t="s">
        <v>1559</v>
      </c>
      <c r="B520" t="s">
        <v>53</v>
      </c>
      <c r="C520" t="s">
        <v>65</v>
      </c>
      <c r="D520" t="s">
        <v>66</v>
      </c>
      <c r="E520" s="2">
        <v>46301</v>
      </c>
      <c r="F520" s="2">
        <v>46331</v>
      </c>
      <c r="G520">
        <v>18911</v>
      </c>
      <c r="H520" t="s">
        <v>15</v>
      </c>
      <c r="I520" t="s">
        <v>23</v>
      </c>
      <c r="J520" t="s">
        <v>17</v>
      </c>
      <c r="K520" t="s">
        <v>63</v>
      </c>
    </row>
    <row r="521" spans="1:11" x14ac:dyDescent="0.25">
      <c r="A521" t="s">
        <v>1560</v>
      </c>
      <c r="B521" t="s">
        <v>122</v>
      </c>
      <c r="C521" t="s">
        <v>414</v>
      </c>
      <c r="D521" t="s">
        <v>415</v>
      </c>
      <c r="E521" s="2">
        <v>46026</v>
      </c>
      <c r="F521" s="2">
        <v>46056</v>
      </c>
      <c r="G521">
        <v>7018.6</v>
      </c>
      <c r="H521" t="s">
        <v>15</v>
      </c>
      <c r="I521" t="s">
        <v>16</v>
      </c>
      <c r="J521" t="s">
        <v>17</v>
      </c>
      <c r="K521" t="s">
        <v>24</v>
      </c>
    </row>
    <row r="522" spans="1:11" x14ac:dyDescent="0.25">
      <c r="A522" t="s">
        <v>1561</v>
      </c>
      <c r="B522" t="s">
        <v>102</v>
      </c>
      <c r="C522" t="s">
        <v>103</v>
      </c>
      <c r="D522" t="s">
        <v>104</v>
      </c>
      <c r="E522" s="2">
        <v>46058</v>
      </c>
      <c r="F522" s="2">
        <v>46088</v>
      </c>
      <c r="G522">
        <v>16919.29</v>
      </c>
      <c r="H522" t="s">
        <v>15</v>
      </c>
      <c r="I522" t="s">
        <v>16</v>
      </c>
      <c r="J522" t="s">
        <v>17</v>
      </c>
      <c r="K522" t="s">
        <v>24</v>
      </c>
    </row>
    <row r="523" spans="1:11" x14ac:dyDescent="0.25">
      <c r="A523" t="s">
        <v>1562</v>
      </c>
      <c r="B523" t="s">
        <v>122</v>
      </c>
      <c r="C523" t="s">
        <v>237</v>
      </c>
      <c r="D523" t="s">
        <v>238</v>
      </c>
      <c r="E523" s="2">
        <v>46245</v>
      </c>
      <c r="F523" s="2">
        <v>46275</v>
      </c>
      <c r="G523">
        <v>4502.29</v>
      </c>
      <c r="H523" t="s">
        <v>15</v>
      </c>
      <c r="I523" t="s">
        <v>16</v>
      </c>
      <c r="J523" t="s">
        <v>17</v>
      </c>
      <c r="K523" t="s">
        <v>63</v>
      </c>
    </row>
    <row r="524" spans="1:11" x14ac:dyDescent="0.25">
      <c r="A524" t="s">
        <v>1563</v>
      </c>
      <c r="B524" t="s">
        <v>57</v>
      </c>
      <c r="C524" t="s">
        <v>921</v>
      </c>
      <c r="D524" t="s">
        <v>922</v>
      </c>
      <c r="E524" s="2">
        <v>46223</v>
      </c>
      <c r="F524" s="2">
        <v>46253</v>
      </c>
      <c r="G524">
        <v>11641.01</v>
      </c>
      <c r="H524" t="s">
        <v>15</v>
      </c>
      <c r="I524" t="s">
        <v>16</v>
      </c>
      <c r="J524" t="s">
        <v>30</v>
      </c>
      <c r="K524" t="s">
        <v>18</v>
      </c>
    </row>
    <row r="525" spans="1:11" x14ac:dyDescent="0.25">
      <c r="A525" t="s">
        <v>1564</v>
      </c>
      <c r="B525" t="s">
        <v>36</v>
      </c>
      <c r="C525" t="s">
        <v>951</v>
      </c>
      <c r="D525" t="s">
        <v>952</v>
      </c>
      <c r="E525" s="2">
        <v>46222</v>
      </c>
      <c r="F525" s="2">
        <v>46252</v>
      </c>
      <c r="G525">
        <v>10525.79</v>
      </c>
      <c r="H525" t="s">
        <v>15</v>
      </c>
      <c r="I525" t="s">
        <v>29</v>
      </c>
      <c r="J525" t="s">
        <v>17</v>
      </c>
      <c r="K525" t="s">
        <v>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1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4" style="5" bestFit="1" customWidth="1"/>
    <col min="2" max="2" width="12.5703125" style="5" bestFit="1" customWidth="1"/>
    <col min="3" max="3" width="12.7109375" style="5" bestFit="1" customWidth="1"/>
    <col min="4" max="4" width="21" style="5" customWidth="1"/>
    <col min="5" max="5" width="19.5703125" style="5" bestFit="1" customWidth="1"/>
    <col min="6" max="6" width="17.42578125" style="5" customWidth="1"/>
    <col min="7" max="7" width="27.85546875" style="5" customWidth="1"/>
    <col min="8" max="8" width="19.5703125" style="5" bestFit="1" customWidth="1"/>
    <col min="9" max="9" width="19.140625" style="5" bestFit="1" customWidth="1"/>
    <col min="10" max="16384" width="9.140625" style="5"/>
  </cols>
  <sheetData>
    <row r="1" spans="1:9" s="13" customFormat="1" ht="27.95" customHeight="1" x14ac:dyDescent="0.25">
      <c r="A1" s="12" t="s">
        <v>1565</v>
      </c>
      <c r="B1" s="12" t="s">
        <v>0</v>
      </c>
      <c r="C1" s="12" t="s">
        <v>1</v>
      </c>
      <c r="D1" s="12" t="s">
        <v>1566</v>
      </c>
      <c r="E1" s="12" t="s">
        <v>1567</v>
      </c>
      <c r="F1" s="12" t="s">
        <v>1568</v>
      </c>
      <c r="G1" s="12" t="s">
        <v>1569</v>
      </c>
      <c r="H1" s="12" t="s">
        <v>1570</v>
      </c>
      <c r="I1" s="12" t="s">
        <v>1571</v>
      </c>
    </row>
    <row r="2" spans="1:9" x14ac:dyDescent="0.25">
      <c r="A2" s="5" t="s">
        <v>1572</v>
      </c>
      <c r="B2" s="5" t="s">
        <v>611</v>
      </c>
      <c r="C2" s="5" t="s">
        <v>112</v>
      </c>
      <c r="E2" s="5">
        <v>0</v>
      </c>
      <c r="F2" s="5" t="s">
        <v>1573</v>
      </c>
      <c r="G2" s="5" t="s">
        <v>1574</v>
      </c>
      <c r="H2" s="5" t="s">
        <v>1575</v>
      </c>
      <c r="I2" s="5">
        <v>1</v>
      </c>
    </row>
    <row r="3" spans="1:9" x14ac:dyDescent="0.25">
      <c r="A3" s="5" t="s">
        <v>1576</v>
      </c>
      <c r="B3" s="5" t="s">
        <v>1049</v>
      </c>
      <c r="C3" s="5" t="s">
        <v>138</v>
      </c>
      <c r="E3" s="5">
        <v>0</v>
      </c>
      <c r="F3" s="5" t="s">
        <v>1573</v>
      </c>
      <c r="G3" s="5" t="s">
        <v>1577</v>
      </c>
      <c r="H3" s="5" t="s">
        <v>1575</v>
      </c>
      <c r="I3" s="5">
        <v>1</v>
      </c>
    </row>
    <row r="4" spans="1:9" x14ac:dyDescent="0.25">
      <c r="A4" s="5" t="s">
        <v>1578</v>
      </c>
      <c r="B4" s="5" t="s">
        <v>767</v>
      </c>
      <c r="C4" s="5" t="s">
        <v>89</v>
      </c>
      <c r="D4" s="6">
        <v>46118</v>
      </c>
      <c r="E4" s="5">
        <v>24655.09</v>
      </c>
      <c r="F4" s="5" t="s">
        <v>1579</v>
      </c>
      <c r="H4" s="5" t="s">
        <v>1575</v>
      </c>
      <c r="I4" s="5">
        <v>1</v>
      </c>
    </row>
    <row r="5" spans="1:9" x14ac:dyDescent="0.25">
      <c r="A5" s="5" t="s">
        <v>1580</v>
      </c>
      <c r="B5" s="5" t="s">
        <v>761</v>
      </c>
      <c r="C5" s="5" t="s">
        <v>112</v>
      </c>
      <c r="D5" s="6">
        <v>46156</v>
      </c>
      <c r="E5" s="5">
        <v>12889.61</v>
      </c>
      <c r="F5" s="5" t="s">
        <v>1579</v>
      </c>
      <c r="H5" s="5" t="s">
        <v>1575</v>
      </c>
      <c r="I5" s="5">
        <v>1</v>
      </c>
    </row>
    <row r="6" spans="1:9" x14ac:dyDescent="0.25">
      <c r="A6" s="5" t="s">
        <v>1581</v>
      </c>
      <c r="B6" s="5" t="s">
        <v>587</v>
      </c>
      <c r="C6" s="5" t="s">
        <v>85</v>
      </c>
      <c r="D6" s="6">
        <v>46120</v>
      </c>
      <c r="E6" s="5">
        <v>10833.51</v>
      </c>
      <c r="F6" s="5" t="s">
        <v>1579</v>
      </c>
      <c r="H6" s="5" t="s">
        <v>1582</v>
      </c>
      <c r="I6" s="5">
        <v>1</v>
      </c>
    </row>
    <row r="7" spans="1:9" x14ac:dyDescent="0.25">
      <c r="A7" s="5" t="s">
        <v>1583</v>
      </c>
      <c r="B7" s="5" t="s">
        <v>131</v>
      </c>
      <c r="C7" s="5" t="s">
        <v>102</v>
      </c>
      <c r="D7" s="6">
        <v>46121</v>
      </c>
      <c r="E7" s="5">
        <v>13694.29</v>
      </c>
      <c r="F7" s="5" t="s">
        <v>1579</v>
      </c>
      <c r="H7" s="5" t="s">
        <v>1582</v>
      </c>
      <c r="I7" s="5">
        <v>1</v>
      </c>
    </row>
    <row r="8" spans="1:9" x14ac:dyDescent="0.25">
      <c r="A8" s="5" t="s">
        <v>1584</v>
      </c>
      <c r="B8" s="5" t="s">
        <v>108</v>
      </c>
      <c r="C8" s="5" t="s">
        <v>49</v>
      </c>
      <c r="D8" s="6">
        <v>46292</v>
      </c>
      <c r="E8" s="5">
        <v>3376.25</v>
      </c>
      <c r="F8" s="5" t="s">
        <v>1579</v>
      </c>
      <c r="H8" s="5" t="s">
        <v>1582</v>
      </c>
      <c r="I8" s="5">
        <v>1</v>
      </c>
    </row>
    <row r="9" spans="1:9" x14ac:dyDescent="0.25">
      <c r="A9" s="5" t="s">
        <v>1585</v>
      </c>
      <c r="B9" s="5" t="s">
        <v>788</v>
      </c>
      <c r="C9" s="5" t="s">
        <v>170</v>
      </c>
      <c r="D9" s="6">
        <v>46220</v>
      </c>
      <c r="E9" s="5">
        <v>14487.57</v>
      </c>
      <c r="F9" s="5" t="s">
        <v>1579</v>
      </c>
      <c r="H9" s="5" t="s">
        <v>1586</v>
      </c>
      <c r="I9" s="5">
        <v>1</v>
      </c>
    </row>
    <row r="10" spans="1:9" x14ac:dyDescent="0.25">
      <c r="A10" s="5" t="s">
        <v>1587</v>
      </c>
      <c r="B10" s="5" t="s">
        <v>359</v>
      </c>
      <c r="C10" s="5" t="s">
        <v>49</v>
      </c>
      <c r="D10" s="6">
        <v>46087</v>
      </c>
      <c r="E10" s="5">
        <v>22484.84</v>
      </c>
      <c r="F10" s="5" t="s">
        <v>1579</v>
      </c>
      <c r="H10" s="5" t="s">
        <v>1582</v>
      </c>
      <c r="I10" s="5">
        <v>1</v>
      </c>
    </row>
    <row r="11" spans="1:9" x14ac:dyDescent="0.25">
      <c r="A11" s="5" t="s">
        <v>1588</v>
      </c>
      <c r="B11" s="5" t="s">
        <v>521</v>
      </c>
      <c r="C11" s="5" t="s">
        <v>36</v>
      </c>
      <c r="D11" s="6">
        <v>46123</v>
      </c>
      <c r="E11" s="5">
        <v>16193.1</v>
      </c>
      <c r="F11" s="5" t="s">
        <v>1579</v>
      </c>
      <c r="H11" s="5" t="s">
        <v>1586</v>
      </c>
      <c r="I11" s="5">
        <v>1</v>
      </c>
    </row>
    <row r="12" spans="1:9" x14ac:dyDescent="0.25">
      <c r="A12" s="5" t="s">
        <v>1589</v>
      </c>
      <c r="B12" s="5" t="s">
        <v>1202</v>
      </c>
      <c r="C12" s="5" t="s">
        <v>122</v>
      </c>
      <c r="D12" s="6">
        <v>46111</v>
      </c>
      <c r="E12" s="5">
        <v>2252.4</v>
      </c>
      <c r="F12" s="5" t="s">
        <v>1579</v>
      </c>
      <c r="H12" s="5" t="s">
        <v>1582</v>
      </c>
      <c r="I12" s="5">
        <v>1</v>
      </c>
    </row>
    <row r="13" spans="1:9" x14ac:dyDescent="0.25">
      <c r="A13" s="5" t="s">
        <v>1590</v>
      </c>
      <c r="B13" s="5" t="s">
        <v>752</v>
      </c>
      <c r="C13" s="5" t="s">
        <v>53</v>
      </c>
      <c r="D13" s="6">
        <v>46178</v>
      </c>
      <c r="E13" s="5">
        <v>17046.91</v>
      </c>
      <c r="F13" s="5" t="s">
        <v>1579</v>
      </c>
      <c r="H13" s="5" t="s">
        <v>1586</v>
      </c>
      <c r="I13" s="5">
        <v>1</v>
      </c>
    </row>
    <row r="14" spans="1:9" x14ac:dyDescent="0.25">
      <c r="A14" s="5" t="s">
        <v>1591</v>
      </c>
      <c r="B14" s="5" t="s">
        <v>914</v>
      </c>
      <c r="C14" s="5" t="s">
        <v>57</v>
      </c>
      <c r="D14" s="6">
        <v>46170</v>
      </c>
      <c r="E14" s="5">
        <v>59426.29</v>
      </c>
      <c r="F14" s="5" t="s">
        <v>1579</v>
      </c>
      <c r="H14" s="5" t="s">
        <v>1582</v>
      </c>
      <c r="I14" s="5">
        <v>1</v>
      </c>
    </row>
    <row r="15" spans="1:9" x14ac:dyDescent="0.25">
      <c r="A15" s="5" t="s">
        <v>1592</v>
      </c>
      <c r="B15" s="5" t="s">
        <v>1451</v>
      </c>
      <c r="C15" s="5" t="s">
        <v>71</v>
      </c>
      <c r="D15" s="6">
        <v>46105</v>
      </c>
      <c r="E15" s="5">
        <v>16763.189999999999</v>
      </c>
      <c r="F15" s="5" t="s">
        <v>1579</v>
      </c>
      <c r="H15" s="5" t="s">
        <v>1586</v>
      </c>
      <c r="I15" s="5">
        <v>3</v>
      </c>
    </row>
    <row r="16" spans="1:9" x14ac:dyDescent="0.25">
      <c r="A16" s="5" t="s">
        <v>1593</v>
      </c>
      <c r="B16" s="5" t="s">
        <v>785</v>
      </c>
      <c r="C16" s="5" t="s">
        <v>89</v>
      </c>
      <c r="D16" s="6">
        <v>46269</v>
      </c>
      <c r="E16" s="5">
        <v>11041.39</v>
      </c>
      <c r="F16" s="5" t="s">
        <v>1579</v>
      </c>
      <c r="H16" s="5" t="s">
        <v>1582</v>
      </c>
      <c r="I16" s="5">
        <v>1</v>
      </c>
    </row>
    <row r="17" spans="1:9" x14ac:dyDescent="0.25">
      <c r="A17" s="5" t="s">
        <v>1594</v>
      </c>
      <c r="B17" s="5" t="s">
        <v>233</v>
      </c>
      <c r="C17" s="5" t="s">
        <v>36</v>
      </c>
      <c r="D17" s="6">
        <v>46221</v>
      </c>
      <c r="E17" s="5">
        <v>400.01</v>
      </c>
      <c r="F17" s="5" t="s">
        <v>1579</v>
      </c>
      <c r="H17" s="5" t="s">
        <v>1586</v>
      </c>
      <c r="I17" s="5">
        <v>1</v>
      </c>
    </row>
    <row r="18" spans="1:9" x14ac:dyDescent="0.25">
      <c r="A18" s="5" t="s">
        <v>1595</v>
      </c>
      <c r="B18" s="5" t="s">
        <v>1136</v>
      </c>
      <c r="C18" s="5" t="s">
        <v>170</v>
      </c>
      <c r="D18" s="6">
        <v>46210</v>
      </c>
      <c r="E18" s="5">
        <v>24352.62</v>
      </c>
      <c r="F18" s="5" t="s">
        <v>1579</v>
      </c>
      <c r="H18" s="5" t="s">
        <v>1582</v>
      </c>
      <c r="I18" s="5">
        <v>1</v>
      </c>
    </row>
    <row r="19" spans="1:9" x14ac:dyDescent="0.25">
      <c r="A19" s="5" t="s">
        <v>1596</v>
      </c>
      <c r="B19" s="5" t="s">
        <v>1139</v>
      </c>
      <c r="C19" s="5" t="s">
        <v>89</v>
      </c>
      <c r="E19" s="5">
        <v>0</v>
      </c>
      <c r="F19" s="5" t="s">
        <v>1597</v>
      </c>
      <c r="G19" s="5" t="s">
        <v>1598</v>
      </c>
      <c r="H19" s="5" t="s">
        <v>1586</v>
      </c>
      <c r="I19" s="5">
        <v>2</v>
      </c>
    </row>
    <row r="20" spans="1:9" x14ac:dyDescent="0.25">
      <c r="A20" s="5" t="s">
        <v>1599</v>
      </c>
      <c r="B20" s="5" t="s">
        <v>1505</v>
      </c>
      <c r="C20" s="5" t="s">
        <v>122</v>
      </c>
      <c r="E20" s="5">
        <v>0</v>
      </c>
      <c r="F20" s="5" t="s">
        <v>1573</v>
      </c>
      <c r="G20" s="5" t="s">
        <v>1600</v>
      </c>
      <c r="H20" s="5" t="s">
        <v>1582</v>
      </c>
      <c r="I20" s="5">
        <v>2</v>
      </c>
    </row>
    <row r="21" spans="1:9" x14ac:dyDescent="0.25">
      <c r="A21" s="5" t="s">
        <v>1601</v>
      </c>
      <c r="B21" s="5" t="s">
        <v>1376</v>
      </c>
      <c r="C21" s="5" t="s">
        <v>32</v>
      </c>
      <c r="D21" s="6">
        <v>46052</v>
      </c>
      <c r="E21" s="5">
        <v>20668.61</v>
      </c>
      <c r="F21" s="5" t="s">
        <v>1579</v>
      </c>
      <c r="H21" s="5" t="s">
        <v>1582</v>
      </c>
      <c r="I21" s="5">
        <v>2</v>
      </c>
    </row>
    <row r="22" spans="1:9" x14ac:dyDescent="0.25">
      <c r="A22" s="5" t="s">
        <v>1602</v>
      </c>
      <c r="B22" s="5" t="s">
        <v>1556</v>
      </c>
      <c r="C22" s="5" t="s">
        <v>85</v>
      </c>
      <c r="E22" s="5">
        <v>0</v>
      </c>
      <c r="F22" s="5" t="s">
        <v>1597</v>
      </c>
      <c r="G22" s="5" t="s">
        <v>1603</v>
      </c>
      <c r="H22" s="5" t="s">
        <v>1575</v>
      </c>
      <c r="I22" s="5">
        <v>1</v>
      </c>
    </row>
    <row r="23" spans="1:9" x14ac:dyDescent="0.25">
      <c r="A23" s="5" t="s">
        <v>1604</v>
      </c>
      <c r="B23" s="5" t="s">
        <v>1193</v>
      </c>
      <c r="C23" s="5" t="s">
        <v>138</v>
      </c>
      <c r="D23" s="6">
        <v>46277</v>
      </c>
      <c r="E23" s="5">
        <v>30979.13</v>
      </c>
      <c r="F23" s="5" t="s">
        <v>1579</v>
      </c>
      <c r="H23" s="5" t="s">
        <v>1586</v>
      </c>
      <c r="I23" s="5">
        <v>1</v>
      </c>
    </row>
    <row r="24" spans="1:9" x14ac:dyDescent="0.25">
      <c r="A24" s="5" t="s">
        <v>1605</v>
      </c>
      <c r="B24" s="5" t="s">
        <v>929</v>
      </c>
      <c r="C24" s="5" t="s">
        <v>45</v>
      </c>
      <c r="D24" s="6">
        <v>46065</v>
      </c>
      <c r="E24" s="5">
        <v>21247.599999999999</v>
      </c>
      <c r="F24" s="5" t="s">
        <v>1579</v>
      </c>
      <c r="H24" s="5" t="s">
        <v>1582</v>
      </c>
      <c r="I24" s="5">
        <v>1</v>
      </c>
    </row>
    <row r="25" spans="1:9" x14ac:dyDescent="0.25">
      <c r="A25" s="5" t="s">
        <v>1606</v>
      </c>
      <c r="B25" s="5" t="s">
        <v>1304</v>
      </c>
      <c r="C25" s="5" t="s">
        <v>45</v>
      </c>
      <c r="E25" s="5">
        <v>0</v>
      </c>
      <c r="F25" s="5" t="s">
        <v>1573</v>
      </c>
      <c r="G25" s="5" t="s">
        <v>1598</v>
      </c>
      <c r="H25" s="5" t="s">
        <v>1586</v>
      </c>
      <c r="I25" s="5">
        <v>1</v>
      </c>
    </row>
    <row r="26" spans="1:9" x14ac:dyDescent="0.25">
      <c r="A26" s="5" t="s">
        <v>1607</v>
      </c>
      <c r="B26" s="5" t="s">
        <v>995</v>
      </c>
      <c r="C26" s="5" t="s">
        <v>53</v>
      </c>
      <c r="D26" s="6">
        <v>46347</v>
      </c>
      <c r="E26" s="5">
        <v>6801.2</v>
      </c>
      <c r="F26" s="5" t="s">
        <v>1579</v>
      </c>
      <c r="H26" s="5" t="s">
        <v>1586</v>
      </c>
      <c r="I26" s="5">
        <v>1</v>
      </c>
    </row>
    <row r="27" spans="1:9" x14ac:dyDescent="0.25">
      <c r="A27" s="5" t="s">
        <v>1608</v>
      </c>
      <c r="B27" s="5" t="s">
        <v>1286</v>
      </c>
      <c r="C27" s="5" t="s">
        <v>170</v>
      </c>
      <c r="D27" s="6">
        <v>46070</v>
      </c>
      <c r="E27" s="5">
        <v>11868.83</v>
      </c>
      <c r="F27" s="5" t="s">
        <v>1579</v>
      </c>
      <c r="H27" s="5" t="s">
        <v>1575</v>
      </c>
      <c r="I27" s="5">
        <v>1</v>
      </c>
    </row>
    <row r="28" spans="1:9" x14ac:dyDescent="0.25">
      <c r="A28" s="5" t="s">
        <v>1609</v>
      </c>
      <c r="B28" s="5" t="s">
        <v>374</v>
      </c>
      <c r="C28" s="5" t="s">
        <v>122</v>
      </c>
      <c r="D28" s="6">
        <v>46118</v>
      </c>
      <c r="E28" s="5">
        <v>22596.68</v>
      </c>
      <c r="F28" s="5" t="s">
        <v>1579</v>
      </c>
      <c r="H28" s="5" t="s">
        <v>1586</v>
      </c>
      <c r="I28" s="5">
        <v>1</v>
      </c>
    </row>
    <row r="29" spans="1:9" x14ac:dyDescent="0.25">
      <c r="A29" s="5" t="s">
        <v>1610</v>
      </c>
      <c r="B29" s="5" t="s">
        <v>1010</v>
      </c>
      <c r="C29" s="5" t="s">
        <v>36</v>
      </c>
      <c r="D29" s="6">
        <v>46286</v>
      </c>
      <c r="E29" s="5">
        <v>351.06</v>
      </c>
      <c r="F29" s="5" t="s">
        <v>1579</v>
      </c>
      <c r="H29" s="5" t="s">
        <v>1586</v>
      </c>
      <c r="I29" s="5">
        <v>3</v>
      </c>
    </row>
    <row r="30" spans="1:9" x14ac:dyDescent="0.25">
      <c r="A30" s="5" t="s">
        <v>1611</v>
      </c>
      <c r="B30" s="5" t="s">
        <v>506</v>
      </c>
      <c r="C30" s="5" t="s">
        <v>102</v>
      </c>
      <c r="D30" s="6">
        <v>46305</v>
      </c>
      <c r="E30" s="5">
        <v>49766.76</v>
      </c>
      <c r="F30" s="5" t="s">
        <v>1579</v>
      </c>
      <c r="H30" s="5" t="s">
        <v>1582</v>
      </c>
      <c r="I30" s="5">
        <v>2</v>
      </c>
    </row>
    <row r="31" spans="1:9" x14ac:dyDescent="0.25">
      <c r="A31" s="5" t="s">
        <v>1612</v>
      </c>
      <c r="B31" s="5" t="s">
        <v>1055</v>
      </c>
      <c r="C31" s="5" t="s">
        <v>45</v>
      </c>
      <c r="D31" s="6">
        <v>46086</v>
      </c>
      <c r="E31" s="5">
        <v>8455.07</v>
      </c>
      <c r="F31" s="5" t="s">
        <v>1579</v>
      </c>
      <c r="H31" s="5" t="s">
        <v>1575</v>
      </c>
      <c r="I31" s="5">
        <v>1</v>
      </c>
    </row>
    <row r="32" spans="1:9" x14ac:dyDescent="0.25">
      <c r="A32" s="5" t="s">
        <v>1613</v>
      </c>
      <c r="B32" s="5" t="s">
        <v>1563</v>
      </c>
      <c r="C32" s="5" t="s">
        <v>57</v>
      </c>
      <c r="D32" s="6">
        <v>46296</v>
      </c>
      <c r="E32" s="5">
        <v>11641.01</v>
      </c>
      <c r="F32" s="5" t="s">
        <v>1579</v>
      </c>
      <c r="H32" s="5" t="s">
        <v>1586</v>
      </c>
      <c r="I32" s="5">
        <v>1</v>
      </c>
    </row>
    <row r="33" spans="1:9" x14ac:dyDescent="0.25">
      <c r="A33" s="5" t="s">
        <v>1614</v>
      </c>
      <c r="B33" s="5" t="s">
        <v>1403</v>
      </c>
      <c r="C33" s="5" t="s">
        <v>163</v>
      </c>
      <c r="D33" s="6">
        <v>46303</v>
      </c>
      <c r="E33" s="5">
        <v>20143.349999999999</v>
      </c>
      <c r="F33" s="5" t="s">
        <v>1579</v>
      </c>
      <c r="H33" s="5" t="s">
        <v>1582</v>
      </c>
      <c r="I33" s="5">
        <v>1</v>
      </c>
    </row>
    <row r="34" spans="1:9" x14ac:dyDescent="0.25">
      <c r="A34" s="5" t="s">
        <v>1615</v>
      </c>
      <c r="B34" s="5" t="s">
        <v>1121</v>
      </c>
      <c r="C34" s="5" t="s">
        <v>85</v>
      </c>
      <c r="D34" s="6">
        <v>46133</v>
      </c>
      <c r="E34" s="5">
        <v>8926.11</v>
      </c>
      <c r="F34" s="5" t="s">
        <v>1579</v>
      </c>
      <c r="H34" s="5" t="s">
        <v>1582</v>
      </c>
      <c r="I34" s="5">
        <v>2</v>
      </c>
    </row>
    <row r="35" spans="1:9" x14ac:dyDescent="0.25">
      <c r="A35" s="5" t="s">
        <v>1616</v>
      </c>
      <c r="B35" s="5" t="s">
        <v>1532</v>
      </c>
      <c r="C35" s="5" t="s">
        <v>12</v>
      </c>
      <c r="D35" s="6">
        <v>46257</v>
      </c>
      <c r="E35" s="5">
        <v>16383.44</v>
      </c>
      <c r="F35" s="5" t="s">
        <v>1579</v>
      </c>
      <c r="H35" s="5" t="s">
        <v>1575</v>
      </c>
      <c r="I35" s="5">
        <v>1</v>
      </c>
    </row>
    <row r="36" spans="1:9" x14ac:dyDescent="0.25">
      <c r="A36" s="5" t="s">
        <v>1617</v>
      </c>
      <c r="B36" s="5" t="s">
        <v>335</v>
      </c>
      <c r="C36" s="5" t="s">
        <v>89</v>
      </c>
      <c r="D36" s="6">
        <v>46234</v>
      </c>
      <c r="E36" s="5">
        <v>18648.259999999998</v>
      </c>
      <c r="F36" s="5" t="s">
        <v>1579</v>
      </c>
      <c r="H36" s="5" t="s">
        <v>1582</v>
      </c>
      <c r="I36" s="5">
        <v>1</v>
      </c>
    </row>
    <row r="37" spans="1:9" x14ac:dyDescent="0.25">
      <c r="A37" s="5" t="s">
        <v>1618</v>
      </c>
      <c r="B37" s="5" t="s">
        <v>728</v>
      </c>
      <c r="C37" s="5" t="s">
        <v>26</v>
      </c>
      <c r="D37" s="6">
        <v>46243</v>
      </c>
      <c r="E37" s="5">
        <v>11424.21</v>
      </c>
      <c r="F37" s="5" t="s">
        <v>1579</v>
      </c>
      <c r="H37" s="5" t="s">
        <v>1586</v>
      </c>
      <c r="I37" s="5">
        <v>1</v>
      </c>
    </row>
    <row r="38" spans="1:9" x14ac:dyDescent="0.25">
      <c r="A38" s="5" t="s">
        <v>1619</v>
      </c>
      <c r="B38" s="5" t="s">
        <v>1460</v>
      </c>
      <c r="C38" s="5" t="s">
        <v>102</v>
      </c>
      <c r="D38" s="6">
        <v>46110</v>
      </c>
      <c r="E38" s="5">
        <v>4284.78</v>
      </c>
      <c r="F38" s="5" t="s">
        <v>1579</v>
      </c>
      <c r="H38" s="5" t="s">
        <v>1575</v>
      </c>
      <c r="I38" s="5">
        <v>1</v>
      </c>
    </row>
    <row r="39" spans="1:9" x14ac:dyDescent="0.25">
      <c r="A39" s="5" t="s">
        <v>1620</v>
      </c>
      <c r="B39" s="5" t="s">
        <v>81</v>
      </c>
      <c r="C39" s="5" t="s">
        <v>45</v>
      </c>
      <c r="D39" s="6">
        <v>46107</v>
      </c>
      <c r="E39" s="5">
        <v>10137.219999999999</v>
      </c>
      <c r="F39" s="5" t="s">
        <v>1579</v>
      </c>
      <c r="H39" s="5" t="s">
        <v>1575</v>
      </c>
      <c r="I39" s="5">
        <v>1</v>
      </c>
    </row>
    <row r="40" spans="1:9" x14ac:dyDescent="0.25">
      <c r="A40" s="5" t="s">
        <v>1621</v>
      </c>
      <c r="B40" s="5" t="s">
        <v>641</v>
      </c>
      <c r="C40" s="5" t="s">
        <v>71</v>
      </c>
      <c r="D40" s="6">
        <v>46312</v>
      </c>
      <c r="E40" s="5">
        <v>22238.240000000002</v>
      </c>
      <c r="F40" s="5" t="s">
        <v>1579</v>
      </c>
      <c r="H40" s="5" t="s">
        <v>1582</v>
      </c>
      <c r="I40" s="5">
        <v>1</v>
      </c>
    </row>
    <row r="41" spans="1:9" x14ac:dyDescent="0.25">
      <c r="A41" s="5" t="s">
        <v>1622</v>
      </c>
      <c r="B41" s="5" t="s">
        <v>590</v>
      </c>
      <c r="C41" s="5" t="s">
        <v>163</v>
      </c>
      <c r="D41" s="6">
        <v>46233</v>
      </c>
      <c r="E41" s="5">
        <v>11214.38</v>
      </c>
      <c r="F41" s="5" t="s">
        <v>1579</v>
      </c>
      <c r="H41" s="5" t="s">
        <v>1586</v>
      </c>
      <c r="I41" s="5">
        <v>1</v>
      </c>
    </row>
    <row r="42" spans="1:9" x14ac:dyDescent="0.25">
      <c r="A42" s="5" t="s">
        <v>1623</v>
      </c>
      <c r="B42" s="5" t="s">
        <v>911</v>
      </c>
      <c r="C42" s="5" t="s">
        <v>85</v>
      </c>
      <c r="D42" s="6">
        <v>46342</v>
      </c>
      <c r="E42" s="5">
        <v>1034.72</v>
      </c>
      <c r="F42" s="5" t="s">
        <v>1579</v>
      </c>
      <c r="H42" s="5" t="s">
        <v>1582</v>
      </c>
      <c r="I42" s="5">
        <v>1</v>
      </c>
    </row>
    <row r="43" spans="1:9" x14ac:dyDescent="0.25">
      <c r="A43" s="5" t="s">
        <v>1624</v>
      </c>
      <c r="B43" s="5" t="s">
        <v>64</v>
      </c>
      <c r="C43" s="5" t="s">
        <v>53</v>
      </c>
      <c r="D43" s="6">
        <v>46309</v>
      </c>
      <c r="E43" s="5">
        <v>17398.12</v>
      </c>
      <c r="F43" s="5" t="s">
        <v>1579</v>
      </c>
      <c r="H43" s="5" t="s">
        <v>1586</v>
      </c>
      <c r="I43" s="5">
        <v>1</v>
      </c>
    </row>
    <row r="44" spans="1:9" x14ac:dyDescent="0.25">
      <c r="A44" s="5" t="s">
        <v>1625</v>
      </c>
      <c r="B44" s="5" t="s">
        <v>266</v>
      </c>
      <c r="C44" s="5" t="s">
        <v>32</v>
      </c>
      <c r="D44" s="6">
        <v>46201</v>
      </c>
      <c r="E44" s="5">
        <v>17471.740000000002</v>
      </c>
      <c r="F44" s="5" t="s">
        <v>1579</v>
      </c>
      <c r="H44" s="5" t="s">
        <v>1586</v>
      </c>
      <c r="I44" s="5">
        <v>1</v>
      </c>
    </row>
    <row r="45" spans="1:9" x14ac:dyDescent="0.25">
      <c r="A45" s="5" t="s">
        <v>1626</v>
      </c>
      <c r="B45" s="5" t="s">
        <v>1331</v>
      </c>
      <c r="C45" s="5" t="s">
        <v>26</v>
      </c>
      <c r="D45" s="6">
        <v>46210</v>
      </c>
      <c r="E45" s="5">
        <v>188.12</v>
      </c>
      <c r="F45" s="5" t="s">
        <v>1579</v>
      </c>
      <c r="H45" s="5" t="s">
        <v>1575</v>
      </c>
      <c r="I45" s="5">
        <v>1</v>
      </c>
    </row>
    <row r="46" spans="1:9" x14ac:dyDescent="0.25">
      <c r="A46" s="5" t="s">
        <v>1627</v>
      </c>
      <c r="B46" s="5" t="s">
        <v>1526</v>
      </c>
      <c r="C46" s="5" t="s">
        <v>53</v>
      </c>
      <c r="D46" s="6">
        <v>46302</v>
      </c>
      <c r="E46" s="5">
        <v>21569.02</v>
      </c>
      <c r="F46" s="5" t="s">
        <v>1579</v>
      </c>
      <c r="H46" s="5" t="s">
        <v>1586</v>
      </c>
      <c r="I46" s="5">
        <v>2</v>
      </c>
    </row>
    <row r="47" spans="1:9" x14ac:dyDescent="0.25">
      <c r="A47" s="5" t="s">
        <v>1628</v>
      </c>
      <c r="B47" s="5" t="s">
        <v>449</v>
      </c>
      <c r="C47" s="5" t="s">
        <v>57</v>
      </c>
      <c r="D47" s="6">
        <v>46322</v>
      </c>
      <c r="E47" s="5">
        <v>9264.92</v>
      </c>
      <c r="F47" s="5" t="s">
        <v>1579</v>
      </c>
      <c r="H47" s="5" t="s">
        <v>1582</v>
      </c>
      <c r="I47" s="5">
        <v>2</v>
      </c>
    </row>
    <row r="48" spans="1:9" x14ac:dyDescent="0.25">
      <c r="A48" s="5" t="s">
        <v>1629</v>
      </c>
      <c r="B48" s="5" t="s">
        <v>1250</v>
      </c>
      <c r="C48" s="5" t="s">
        <v>57</v>
      </c>
      <c r="D48" s="6">
        <v>46257</v>
      </c>
      <c r="E48" s="5">
        <v>4188.22</v>
      </c>
      <c r="F48" s="5" t="s">
        <v>1579</v>
      </c>
      <c r="H48" s="5" t="s">
        <v>1582</v>
      </c>
      <c r="I48" s="5">
        <v>2</v>
      </c>
    </row>
    <row r="49" spans="1:9" x14ac:dyDescent="0.25">
      <c r="A49" s="5" t="s">
        <v>1630</v>
      </c>
      <c r="B49" s="5" t="s">
        <v>500</v>
      </c>
      <c r="C49" s="5" t="s">
        <v>102</v>
      </c>
      <c r="D49" s="6">
        <v>46354</v>
      </c>
      <c r="E49" s="5">
        <v>9685.92</v>
      </c>
      <c r="F49" s="5" t="s">
        <v>1579</v>
      </c>
      <c r="H49" s="5" t="s">
        <v>1586</v>
      </c>
      <c r="I49" s="5">
        <v>1</v>
      </c>
    </row>
    <row r="50" spans="1:9" x14ac:dyDescent="0.25">
      <c r="A50" s="5" t="s">
        <v>1631</v>
      </c>
      <c r="B50" s="5" t="s">
        <v>105</v>
      </c>
      <c r="C50" s="5" t="s">
        <v>102</v>
      </c>
      <c r="E50" s="5">
        <v>0</v>
      </c>
      <c r="F50" s="5" t="s">
        <v>1597</v>
      </c>
      <c r="G50" s="5" t="s">
        <v>1603</v>
      </c>
      <c r="H50" s="5" t="s">
        <v>1586</v>
      </c>
      <c r="I50" s="5">
        <v>3</v>
      </c>
    </row>
    <row r="51" spans="1:9" x14ac:dyDescent="0.25">
      <c r="A51" s="5" t="s">
        <v>1632</v>
      </c>
      <c r="B51" s="5" t="s">
        <v>121</v>
      </c>
      <c r="C51" s="5" t="s">
        <v>122</v>
      </c>
      <c r="D51" s="6">
        <v>46235</v>
      </c>
      <c r="E51" s="5">
        <v>7130.1</v>
      </c>
      <c r="F51" s="5" t="s">
        <v>1579</v>
      </c>
      <c r="H51" s="5" t="s">
        <v>1582</v>
      </c>
      <c r="I51" s="5">
        <v>1</v>
      </c>
    </row>
    <row r="52" spans="1:9" x14ac:dyDescent="0.25">
      <c r="A52" s="5" t="s">
        <v>1633</v>
      </c>
      <c r="B52" s="5" t="s">
        <v>905</v>
      </c>
      <c r="C52" s="5" t="s">
        <v>102</v>
      </c>
      <c r="D52" s="6">
        <v>46259</v>
      </c>
      <c r="E52" s="5">
        <v>16863.68</v>
      </c>
      <c r="F52" s="5" t="s">
        <v>1579</v>
      </c>
      <c r="H52" s="5" t="s">
        <v>1575</v>
      </c>
      <c r="I52" s="5">
        <v>1</v>
      </c>
    </row>
    <row r="53" spans="1:9" x14ac:dyDescent="0.25">
      <c r="A53" s="5" t="s">
        <v>1634</v>
      </c>
      <c r="B53" s="5" t="s">
        <v>293</v>
      </c>
      <c r="C53" s="5" t="s">
        <v>41</v>
      </c>
      <c r="D53" s="6">
        <v>46212</v>
      </c>
      <c r="E53" s="5">
        <v>12571.75</v>
      </c>
      <c r="F53" s="5" t="s">
        <v>1579</v>
      </c>
      <c r="H53" s="5" t="s">
        <v>1575</v>
      </c>
      <c r="I53" s="5">
        <v>1</v>
      </c>
    </row>
    <row r="54" spans="1:9" x14ac:dyDescent="0.25">
      <c r="A54" s="5" t="s">
        <v>1635</v>
      </c>
      <c r="B54" s="5" t="s">
        <v>1430</v>
      </c>
      <c r="C54" s="5" t="s">
        <v>20</v>
      </c>
      <c r="D54" s="6">
        <v>46237</v>
      </c>
      <c r="E54" s="5">
        <v>18907.080000000002</v>
      </c>
      <c r="F54" s="5" t="s">
        <v>1579</v>
      </c>
      <c r="H54" s="5" t="s">
        <v>1586</v>
      </c>
      <c r="I54" s="5">
        <v>1</v>
      </c>
    </row>
    <row r="55" spans="1:9" x14ac:dyDescent="0.25">
      <c r="A55" s="5" t="s">
        <v>1636</v>
      </c>
      <c r="B55" s="5" t="s">
        <v>749</v>
      </c>
      <c r="C55" s="5" t="s">
        <v>122</v>
      </c>
      <c r="D55" s="6">
        <v>46328</v>
      </c>
      <c r="E55" s="5">
        <v>18723.64</v>
      </c>
      <c r="F55" s="5" t="s">
        <v>1579</v>
      </c>
      <c r="H55" s="5" t="s">
        <v>1575</v>
      </c>
      <c r="I55" s="5">
        <v>1</v>
      </c>
    </row>
    <row r="56" spans="1:9" x14ac:dyDescent="0.25">
      <c r="A56" s="5" t="s">
        <v>1637</v>
      </c>
      <c r="B56" s="5" t="s">
        <v>1025</v>
      </c>
      <c r="C56" s="5" t="s">
        <v>138</v>
      </c>
      <c r="D56" s="6">
        <v>46214</v>
      </c>
      <c r="E56" s="5">
        <v>19500.759999999998</v>
      </c>
      <c r="F56" s="5" t="s">
        <v>1579</v>
      </c>
      <c r="H56" s="5" t="s">
        <v>1582</v>
      </c>
      <c r="I56" s="5">
        <v>1</v>
      </c>
    </row>
    <row r="57" spans="1:9" x14ac:dyDescent="0.25">
      <c r="A57" s="5" t="s">
        <v>1638</v>
      </c>
      <c r="B57" s="5" t="s">
        <v>275</v>
      </c>
      <c r="C57" s="5" t="s">
        <v>138</v>
      </c>
      <c r="D57" s="6">
        <v>46184</v>
      </c>
      <c r="E57" s="5">
        <v>19419.259999999998</v>
      </c>
      <c r="F57" s="5" t="s">
        <v>1579</v>
      </c>
      <c r="H57" s="5" t="s">
        <v>1575</v>
      </c>
      <c r="I57" s="5">
        <v>1</v>
      </c>
    </row>
    <row r="58" spans="1:9" x14ac:dyDescent="0.25">
      <c r="A58" s="5" t="s">
        <v>1639</v>
      </c>
      <c r="B58" s="5" t="s">
        <v>458</v>
      </c>
      <c r="C58" s="5" t="s">
        <v>71</v>
      </c>
      <c r="D58" s="6">
        <v>46144</v>
      </c>
      <c r="E58" s="5">
        <v>18683.259999999998</v>
      </c>
      <c r="F58" s="5" t="s">
        <v>1579</v>
      </c>
      <c r="H58" s="5" t="s">
        <v>1575</v>
      </c>
      <c r="I58" s="5">
        <v>1</v>
      </c>
    </row>
    <row r="59" spans="1:9" x14ac:dyDescent="0.25">
      <c r="A59" s="5" t="s">
        <v>1640</v>
      </c>
      <c r="B59" s="5" t="s">
        <v>296</v>
      </c>
      <c r="C59" s="5" t="s">
        <v>138</v>
      </c>
      <c r="E59" s="5">
        <v>0</v>
      </c>
      <c r="F59" s="5" t="s">
        <v>1573</v>
      </c>
      <c r="G59" s="5" t="s">
        <v>1641</v>
      </c>
      <c r="H59" s="5" t="s">
        <v>1582</v>
      </c>
      <c r="I59" s="5">
        <v>1</v>
      </c>
    </row>
    <row r="60" spans="1:9" x14ac:dyDescent="0.25">
      <c r="A60" s="5" t="s">
        <v>1642</v>
      </c>
      <c r="B60" s="5" t="s">
        <v>635</v>
      </c>
      <c r="C60" s="5" t="s">
        <v>170</v>
      </c>
      <c r="D60" s="6">
        <v>46108</v>
      </c>
      <c r="E60" s="5">
        <v>4379.47</v>
      </c>
      <c r="F60" s="5" t="s">
        <v>1579</v>
      </c>
      <c r="H60" s="5" t="s">
        <v>1575</v>
      </c>
      <c r="I60" s="5">
        <v>1</v>
      </c>
    </row>
    <row r="61" spans="1:9" x14ac:dyDescent="0.25">
      <c r="A61" s="5" t="s">
        <v>1643</v>
      </c>
      <c r="B61" s="5" t="s">
        <v>1550</v>
      </c>
      <c r="C61" s="5" t="s">
        <v>57</v>
      </c>
      <c r="E61" s="5">
        <v>0</v>
      </c>
      <c r="F61" s="5" t="s">
        <v>1573</v>
      </c>
      <c r="G61" s="5" t="s">
        <v>1600</v>
      </c>
      <c r="H61" s="5" t="s">
        <v>1582</v>
      </c>
      <c r="I61" s="5">
        <v>3</v>
      </c>
    </row>
    <row r="62" spans="1:9" x14ac:dyDescent="0.25">
      <c r="A62" s="5" t="s">
        <v>1644</v>
      </c>
      <c r="B62" s="5" t="s">
        <v>1557</v>
      </c>
      <c r="C62" s="5" t="s">
        <v>45</v>
      </c>
      <c r="D62" s="6">
        <v>46343</v>
      </c>
      <c r="E62" s="5">
        <v>6408.13</v>
      </c>
      <c r="F62" s="5" t="s">
        <v>1579</v>
      </c>
      <c r="H62" s="5" t="s">
        <v>1575</v>
      </c>
      <c r="I62" s="5">
        <v>1</v>
      </c>
    </row>
    <row r="63" spans="1:9" x14ac:dyDescent="0.25">
      <c r="A63" s="5" t="s">
        <v>1645</v>
      </c>
      <c r="B63" s="5" t="s">
        <v>284</v>
      </c>
      <c r="C63" s="5" t="s">
        <v>20</v>
      </c>
      <c r="D63" s="6">
        <v>46187</v>
      </c>
      <c r="E63" s="5">
        <v>17709.060000000001</v>
      </c>
      <c r="F63" s="5" t="s">
        <v>1579</v>
      </c>
      <c r="H63" s="5" t="s">
        <v>1586</v>
      </c>
      <c r="I63" s="5">
        <v>1</v>
      </c>
    </row>
    <row r="64" spans="1:9" x14ac:dyDescent="0.25">
      <c r="A64" s="5" t="s">
        <v>1646</v>
      </c>
      <c r="B64" s="5" t="s">
        <v>704</v>
      </c>
      <c r="C64" s="5" t="s">
        <v>75</v>
      </c>
      <c r="D64" s="6">
        <v>46221</v>
      </c>
      <c r="E64" s="5">
        <v>12057.51</v>
      </c>
      <c r="F64" s="5" t="s">
        <v>1579</v>
      </c>
      <c r="H64" s="5" t="s">
        <v>1586</v>
      </c>
      <c r="I64" s="5">
        <v>1</v>
      </c>
    </row>
    <row r="65" spans="1:9" x14ac:dyDescent="0.25">
      <c r="A65" s="5" t="s">
        <v>1647</v>
      </c>
      <c r="B65" s="5" t="s">
        <v>1127</v>
      </c>
      <c r="C65" s="5" t="s">
        <v>85</v>
      </c>
      <c r="D65" s="6">
        <v>46157</v>
      </c>
      <c r="E65" s="5">
        <v>16109.19</v>
      </c>
      <c r="F65" s="5" t="s">
        <v>1579</v>
      </c>
      <c r="H65" s="5" t="s">
        <v>1575</v>
      </c>
      <c r="I65" s="5">
        <v>1</v>
      </c>
    </row>
    <row r="66" spans="1:9" x14ac:dyDescent="0.25">
      <c r="A66" s="5" t="s">
        <v>1648</v>
      </c>
      <c r="B66" s="5" t="s">
        <v>56</v>
      </c>
      <c r="C66" s="5" t="s">
        <v>57</v>
      </c>
      <c r="D66" s="6">
        <v>46247</v>
      </c>
      <c r="E66" s="5">
        <v>6077.57</v>
      </c>
      <c r="F66" s="5" t="s">
        <v>1579</v>
      </c>
      <c r="H66" s="5" t="s">
        <v>1575</v>
      </c>
      <c r="I66" s="5">
        <v>1</v>
      </c>
    </row>
    <row r="67" spans="1:9" x14ac:dyDescent="0.25">
      <c r="A67" s="5" t="s">
        <v>1649</v>
      </c>
      <c r="B67" s="5" t="s">
        <v>722</v>
      </c>
      <c r="C67" s="5" t="s">
        <v>170</v>
      </c>
      <c r="E67" s="5">
        <v>0</v>
      </c>
      <c r="F67" s="5" t="s">
        <v>1597</v>
      </c>
      <c r="G67" s="5" t="s">
        <v>1603</v>
      </c>
      <c r="H67" s="5" t="s">
        <v>1575</v>
      </c>
      <c r="I67" s="5">
        <v>1</v>
      </c>
    </row>
    <row r="68" spans="1:9" x14ac:dyDescent="0.25">
      <c r="A68" s="5" t="s">
        <v>1650</v>
      </c>
      <c r="B68" s="5" t="s">
        <v>1391</v>
      </c>
      <c r="C68" s="5" t="s">
        <v>26</v>
      </c>
      <c r="D68" s="6">
        <v>46131</v>
      </c>
      <c r="E68" s="5">
        <v>47163.42</v>
      </c>
      <c r="F68" s="5" t="s">
        <v>1579</v>
      </c>
      <c r="H68" s="5" t="s">
        <v>1586</v>
      </c>
      <c r="I68" s="5">
        <v>2</v>
      </c>
    </row>
    <row r="69" spans="1:9" x14ac:dyDescent="0.25">
      <c r="A69" s="5" t="s">
        <v>1651</v>
      </c>
      <c r="B69" s="5" t="s">
        <v>169</v>
      </c>
      <c r="C69" s="5" t="s">
        <v>170</v>
      </c>
      <c r="E69" s="5">
        <v>0</v>
      </c>
      <c r="F69" s="5" t="s">
        <v>1573</v>
      </c>
      <c r="G69" s="5" t="s">
        <v>1598</v>
      </c>
      <c r="H69" s="5" t="s">
        <v>1582</v>
      </c>
      <c r="I69" s="5">
        <v>2</v>
      </c>
    </row>
    <row r="70" spans="1:9" x14ac:dyDescent="0.25">
      <c r="A70" s="5" t="s">
        <v>1652</v>
      </c>
      <c r="B70" s="5" t="s">
        <v>98</v>
      </c>
      <c r="C70" s="5" t="s">
        <v>89</v>
      </c>
      <c r="D70" s="6">
        <v>46068</v>
      </c>
      <c r="E70" s="5">
        <v>14654.34</v>
      </c>
      <c r="F70" s="5" t="s">
        <v>1579</v>
      </c>
      <c r="H70" s="5" t="s">
        <v>1586</v>
      </c>
      <c r="I70" s="5">
        <v>1</v>
      </c>
    </row>
    <row r="71" spans="1:9" x14ac:dyDescent="0.25">
      <c r="A71" s="5" t="s">
        <v>1653</v>
      </c>
      <c r="B71" s="5" t="s">
        <v>1004</v>
      </c>
      <c r="C71" s="5" t="s">
        <v>102</v>
      </c>
      <c r="E71" s="5">
        <v>0</v>
      </c>
      <c r="F71" s="5" t="s">
        <v>1597</v>
      </c>
      <c r="G71" s="5" t="s">
        <v>1600</v>
      </c>
      <c r="H71" s="5" t="s">
        <v>1575</v>
      </c>
      <c r="I71" s="5">
        <v>2</v>
      </c>
    </row>
    <row r="72" spans="1:9" x14ac:dyDescent="0.25">
      <c r="A72" s="5" t="s">
        <v>1654</v>
      </c>
      <c r="B72" s="5" t="s">
        <v>845</v>
      </c>
      <c r="C72" s="5" t="s">
        <v>57</v>
      </c>
      <c r="D72" s="6">
        <v>46240</v>
      </c>
      <c r="E72" s="5">
        <v>11539.86</v>
      </c>
      <c r="F72" s="5" t="s">
        <v>1579</v>
      </c>
      <c r="H72" s="5" t="s">
        <v>1582</v>
      </c>
      <c r="I72" s="5">
        <v>1</v>
      </c>
    </row>
    <row r="73" spans="1:9" x14ac:dyDescent="0.25">
      <c r="A73" s="5" t="s">
        <v>1655</v>
      </c>
      <c r="B73" s="5" t="s">
        <v>1277</v>
      </c>
      <c r="C73" s="5" t="s">
        <v>57</v>
      </c>
      <c r="D73" s="6">
        <v>46315</v>
      </c>
      <c r="E73" s="5">
        <v>7588.85</v>
      </c>
      <c r="F73" s="5" t="s">
        <v>1579</v>
      </c>
      <c r="H73" s="5" t="s">
        <v>1586</v>
      </c>
      <c r="I73" s="5">
        <v>1</v>
      </c>
    </row>
    <row r="74" spans="1:9" x14ac:dyDescent="0.25">
      <c r="A74" s="5" t="s">
        <v>1656</v>
      </c>
      <c r="B74" s="5" t="s">
        <v>1499</v>
      </c>
      <c r="C74" s="5" t="s">
        <v>112</v>
      </c>
      <c r="D74" s="6">
        <v>46253</v>
      </c>
      <c r="E74" s="5">
        <v>15454.6</v>
      </c>
      <c r="F74" s="5" t="s">
        <v>1579</v>
      </c>
      <c r="H74" s="5" t="s">
        <v>1575</v>
      </c>
      <c r="I74" s="5">
        <v>1</v>
      </c>
    </row>
    <row r="75" spans="1:9" x14ac:dyDescent="0.25">
      <c r="A75" s="5" t="s">
        <v>1657</v>
      </c>
      <c r="B75" s="5" t="s">
        <v>1073</v>
      </c>
      <c r="C75" s="5" t="s">
        <v>163</v>
      </c>
      <c r="D75" s="6">
        <v>46245</v>
      </c>
      <c r="E75" s="5">
        <v>2269.27</v>
      </c>
      <c r="F75" s="5" t="s">
        <v>1579</v>
      </c>
      <c r="H75" s="5" t="s">
        <v>1586</v>
      </c>
      <c r="I75" s="5">
        <v>1</v>
      </c>
    </row>
    <row r="76" spans="1:9" x14ac:dyDescent="0.25">
      <c r="A76" s="5" t="s">
        <v>1658</v>
      </c>
      <c r="B76" s="5" t="s">
        <v>1544</v>
      </c>
      <c r="C76" s="5" t="s">
        <v>20</v>
      </c>
      <c r="D76" s="6">
        <v>46068</v>
      </c>
      <c r="E76" s="5">
        <v>15928.85</v>
      </c>
      <c r="F76" s="5" t="s">
        <v>1579</v>
      </c>
      <c r="H76" s="5" t="s">
        <v>1575</v>
      </c>
      <c r="I76" s="5">
        <v>1</v>
      </c>
    </row>
    <row r="77" spans="1:9" x14ac:dyDescent="0.25">
      <c r="A77" s="5" t="s">
        <v>1659</v>
      </c>
      <c r="B77" s="5" t="s">
        <v>1013</v>
      </c>
      <c r="C77" s="5" t="s">
        <v>41</v>
      </c>
      <c r="D77" s="6">
        <v>46089</v>
      </c>
      <c r="E77" s="5">
        <v>18301.39</v>
      </c>
      <c r="F77" s="5" t="s">
        <v>1579</v>
      </c>
      <c r="H77" s="5" t="s">
        <v>1586</v>
      </c>
      <c r="I77" s="5">
        <v>1</v>
      </c>
    </row>
    <row r="78" spans="1:9" x14ac:dyDescent="0.25">
      <c r="A78" s="5" t="s">
        <v>1660</v>
      </c>
      <c r="B78" s="5" t="s">
        <v>236</v>
      </c>
      <c r="C78" s="5" t="s">
        <v>122</v>
      </c>
      <c r="D78" s="6">
        <v>46275</v>
      </c>
      <c r="E78" s="5">
        <v>4502.29</v>
      </c>
      <c r="F78" s="5" t="s">
        <v>1579</v>
      </c>
      <c r="H78" s="5" t="s">
        <v>1575</v>
      </c>
      <c r="I78" s="5">
        <v>1</v>
      </c>
    </row>
    <row r="79" spans="1:9" x14ac:dyDescent="0.25">
      <c r="A79" s="5" t="s">
        <v>1661</v>
      </c>
      <c r="B79" s="5" t="s">
        <v>162</v>
      </c>
      <c r="C79" s="5" t="s">
        <v>163</v>
      </c>
      <c r="D79" s="6">
        <v>46296</v>
      </c>
      <c r="E79" s="5">
        <v>7815</v>
      </c>
      <c r="F79" s="5" t="s">
        <v>1579</v>
      </c>
      <c r="H79" s="5" t="s">
        <v>1582</v>
      </c>
      <c r="I79" s="5">
        <v>2</v>
      </c>
    </row>
    <row r="80" spans="1:9" x14ac:dyDescent="0.25">
      <c r="A80" s="5" t="s">
        <v>1662</v>
      </c>
      <c r="B80" s="5" t="s">
        <v>623</v>
      </c>
      <c r="C80" s="5" t="s">
        <v>102</v>
      </c>
      <c r="D80" s="6">
        <v>46103</v>
      </c>
      <c r="E80" s="5">
        <v>24312.81</v>
      </c>
      <c r="F80" s="5" t="s">
        <v>1579</v>
      </c>
      <c r="H80" s="5" t="s">
        <v>1586</v>
      </c>
      <c r="I80" s="5">
        <v>1</v>
      </c>
    </row>
    <row r="81" spans="1:9" x14ac:dyDescent="0.25">
      <c r="A81" s="5" t="s">
        <v>1663</v>
      </c>
      <c r="B81" s="5" t="s">
        <v>147</v>
      </c>
      <c r="C81" s="5" t="s">
        <v>20</v>
      </c>
      <c r="D81" s="6">
        <v>46183</v>
      </c>
      <c r="E81" s="5">
        <v>708.77</v>
      </c>
      <c r="F81" s="5" t="s">
        <v>1579</v>
      </c>
      <c r="H81" s="5" t="s">
        <v>1582</v>
      </c>
      <c r="I81" s="5">
        <v>1</v>
      </c>
    </row>
    <row r="82" spans="1:9" x14ac:dyDescent="0.25">
      <c r="A82" s="5" t="s">
        <v>1664</v>
      </c>
      <c r="B82" s="5" t="s">
        <v>1554</v>
      </c>
      <c r="C82" s="5" t="s">
        <v>138</v>
      </c>
      <c r="D82" s="6">
        <v>46117</v>
      </c>
      <c r="E82" s="5">
        <v>16842.099999999999</v>
      </c>
      <c r="F82" s="5" t="s">
        <v>1579</v>
      </c>
      <c r="H82" s="5" t="s">
        <v>1575</v>
      </c>
      <c r="I82" s="5">
        <v>2</v>
      </c>
    </row>
    <row r="83" spans="1:9" x14ac:dyDescent="0.25">
      <c r="A83" s="5" t="s">
        <v>1665</v>
      </c>
      <c r="B83" s="5" t="s">
        <v>1283</v>
      </c>
      <c r="C83" s="5" t="s">
        <v>85</v>
      </c>
      <c r="E83" s="5">
        <v>0</v>
      </c>
      <c r="F83" s="5" t="s">
        <v>1597</v>
      </c>
      <c r="G83" s="5" t="s">
        <v>1577</v>
      </c>
      <c r="H83" s="5" t="s">
        <v>1582</v>
      </c>
      <c r="I83" s="5">
        <v>1</v>
      </c>
    </row>
    <row r="84" spans="1:9" x14ac:dyDescent="0.25">
      <c r="A84" s="5" t="s">
        <v>1666</v>
      </c>
      <c r="B84" s="5" t="s">
        <v>539</v>
      </c>
      <c r="C84" s="5" t="s">
        <v>138</v>
      </c>
      <c r="E84" s="5">
        <v>0</v>
      </c>
      <c r="F84" s="5" t="s">
        <v>1597</v>
      </c>
      <c r="G84" s="5" t="s">
        <v>1667</v>
      </c>
      <c r="H84" s="5" t="s">
        <v>1575</v>
      </c>
      <c r="I84" s="5">
        <v>1</v>
      </c>
    </row>
    <row r="85" spans="1:9" x14ac:dyDescent="0.25">
      <c r="A85" s="5" t="s">
        <v>1668</v>
      </c>
      <c r="B85" s="5" t="s">
        <v>260</v>
      </c>
      <c r="C85" s="5" t="s">
        <v>53</v>
      </c>
      <c r="D85" s="6">
        <v>46152</v>
      </c>
      <c r="E85" s="5">
        <v>18496.48</v>
      </c>
      <c r="F85" s="5" t="s">
        <v>1579</v>
      </c>
      <c r="H85" s="5" t="s">
        <v>1575</v>
      </c>
      <c r="I85" s="5">
        <v>1</v>
      </c>
    </row>
    <row r="86" spans="1:9" x14ac:dyDescent="0.25">
      <c r="A86" s="5" t="s">
        <v>1669</v>
      </c>
      <c r="B86" s="5" t="s">
        <v>953</v>
      </c>
      <c r="C86" s="5" t="s">
        <v>12</v>
      </c>
      <c r="E86" s="5">
        <v>0</v>
      </c>
      <c r="F86" s="5" t="s">
        <v>1573</v>
      </c>
      <c r="G86" s="5" t="s">
        <v>1577</v>
      </c>
      <c r="H86" s="5" t="s">
        <v>1582</v>
      </c>
      <c r="I86" s="5">
        <v>1</v>
      </c>
    </row>
    <row r="87" spans="1:9" x14ac:dyDescent="0.25">
      <c r="A87" s="5" t="s">
        <v>1670</v>
      </c>
      <c r="B87" s="5" t="s">
        <v>272</v>
      </c>
      <c r="C87" s="5" t="s">
        <v>102</v>
      </c>
      <c r="D87" s="6">
        <v>46112</v>
      </c>
      <c r="E87" s="5">
        <v>3894.97</v>
      </c>
      <c r="F87" s="5" t="s">
        <v>1579</v>
      </c>
      <c r="H87" s="5" t="s">
        <v>1582</v>
      </c>
      <c r="I87" s="5">
        <v>1</v>
      </c>
    </row>
    <row r="88" spans="1:9" x14ac:dyDescent="0.25">
      <c r="A88" s="5" t="s">
        <v>1671</v>
      </c>
      <c r="B88" s="5" t="s">
        <v>1007</v>
      </c>
      <c r="C88" s="5" t="s">
        <v>20</v>
      </c>
      <c r="D88" s="6">
        <v>46273</v>
      </c>
      <c r="E88" s="5">
        <v>16428.47</v>
      </c>
      <c r="F88" s="5" t="s">
        <v>1579</v>
      </c>
      <c r="H88" s="5" t="s">
        <v>1575</v>
      </c>
      <c r="I88" s="5">
        <v>1</v>
      </c>
    </row>
    <row r="89" spans="1:9" x14ac:dyDescent="0.25">
      <c r="A89" s="5" t="s">
        <v>1672</v>
      </c>
      <c r="B89" s="5" t="s">
        <v>1292</v>
      </c>
      <c r="C89" s="5" t="s">
        <v>102</v>
      </c>
      <c r="D89" s="6">
        <v>46295</v>
      </c>
      <c r="E89" s="5">
        <v>8395.82</v>
      </c>
      <c r="F89" s="5" t="s">
        <v>1579</v>
      </c>
      <c r="H89" s="5" t="s">
        <v>1575</v>
      </c>
      <c r="I89" s="5">
        <v>1</v>
      </c>
    </row>
    <row r="90" spans="1:9" x14ac:dyDescent="0.25">
      <c r="A90" s="5" t="s">
        <v>1673</v>
      </c>
      <c r="B90" s="5" t="s">
        <v>78</v>
      </c>
      <c r="C90" s="5" t="s">
        <v>53</v>
      </c>
      <c r="D90" s="6">
        <v>46143</v>
      </c>
      <c r="E90" s="5">
        <v>2531.64</v>
      </c>
      <c r="F90" s="5" t="s">
        <v>1579</v>
      </c>
      <c r="H90" s="5" t="s">
        <v>1586</v>
      </c>
      <c r="I90" s="5">
        <v>1</v>
      </c>
    </row>
    <row r="91" spans="1:9" x14ac:dyDescent="0.25">
      <c r="A91" s="5" t="s">
        <v>1674</v>
      </c>
      <c r="B91" s="5" t="s">
        <v>716</v>
      </c>
      <c r="C91" s="5" t="s">
        <v>26</v>
      </c>
      <c r="D91" s="6">
        <v>46303</v>
      </c>
      <c r="E91" s="5">
        <v>2621.56</v>
      </c>
      <c r="F91" s="5" t="s">
        <v>1579</v>
      </c>
      <c r="H91" s="5" t="s">
        <v>1586</v>
      </c>
      <c r="I91" s="5">
        <v>1</v>
      </c>
    </row>
    <row r="92" spans="1:9" x14ac:dyDescent="0.25">
      <c r="A92" s="5" t="s">
        <v>1675</v>
      </c>
      <c r="B92" s="5" t="s">
        <v>881</v>
      </c>
      <c r="C92" s="5" t="s">
        <v>102</v>
      </c>
      <c r="E92" s="5">
        <v>0</v>
      </c>
      <c r="F92" s="5" t="s">
        <v>1573</v>
      </c>
      <c r="G92" s="5" t="s">
        <v>1603</v>
      </c>
      <c r="H92" s="5" t="s">
        <v>1582</v>
      </c>
      <c r="I92" s="5">
        <v>1</v>
      </c>
    </row>
    <row r="93" spans="1:9" x14ac:dyDescent="0.25">
      <c r="A93" s="5" t="s">
        <v>1676</v>
      </c>
      <c r="B93" s="5" t="s">
        <v>1529</v>
      </c>
      <c r="C93" s="5" t="s">
        <v>26</v>
      </c>
      <c r="D93" s="6">
        <v>46126</v>
      </c>
      <c r="E93" s="5">
        <v>17628.96</v>
      </c>
      <c r="F93" s="5" t="s">
        <v>1579</v>
      </c>
      <c r="H93" s="5" t="s">
        <v>1586</v>
      </c>
      <c r="I93" s="5">
        <v>1</v>
      </c>
    </row>
    <row r="94" spans="1:9" x14ac:dyDescent="0.25">
      <c r="A94" s="5" t="s">
        <v>1677</v>
      </c>
      <c r="B94" s="5" t="s">
        <v>1298</v>
      </c>
      <c r="C94" s="5" t="s">
        <v>85</v>
      </c>
      <c r="E94" s="5">
        <v>0</v>
      </c>
      <c r="F94" s="5" t="s">
        <v>1597</v>
      </c>
      <c r="G94" s="5" t="s">
        <v>1678</v>
      </c>
      <c r="H94" s="5" t="s">
        <v>1586</v>
      </c>
      <c r="I94" s="5">
        <v>3</v>
      </c>
    </row>
    <row r="95" spans="1:9" x14ac:dyDescent="0.25">
      <c r="A95" s="5" t="s">
        <v>1679</v>
      </c>
      <c r="B95" s="5" t="s">
        <v>323</v>
      </c>
      <c r="C95" s="5" t="s">
        <v>75</v>
      </c>
      <c r="D95" s="6">
        <v>46192</v>
      </c>
      <c r="E95" s="5">
        <v>11484.85</v>
      </c>
      <c r="F95" s="5" t="s">
        <v>1579</v>
      </c>
      <c r="H95" s="5" t="s">
        <v>1582</v>
      </c>
      <c r="I95" s="5">
        <v>2</v>
      </c>
    </row>
    <row r="96" spans="1:9" x14ac:dyDescent="0.25">
      <c r="A96" s="5" t="s">
        <v>1680</v>
      </c>
      <c r="B96" s="5" t="s">
        <v>473</v>
      </c>
      <c r="C96" s="5" t="s">
        <v>12</v>
      </c>
      <c r="D96" s="6">
        <v>46158</v>
      </c>
      <c r="E96" s="5">
        <v>9579.56</v>
      </c>
      <c r="F96" s="5" t="s">
        <v>1579</v>
      </c>
      <c r="H96" s="5" t="s">
        <v>1582</v>
      </c>
      <c r="I96" s="5">
        <v>1</v>
      </c>
    </row>
    <row r="97" spans="1:9" x14ac:dyDescent="0.25">
      <c r="A97" s="5" t="s">
        <v>1681</v>
      </c>
      <c r="B97" s="5" t="s">
        <v>1337</v>
      </c>
      <c r="C97" s="5" t="s">
        <v>49</v>
      </c>
      <c r="D97" s="6">
        <v>46304</v>
      </c>
      <c r="E97" s="5">
        <v>819.6</v>
      </c>
      <c r="F97" s="5" t="s">
        <v>1579</v>
      </c>
      <c r="H97" s="5" t="s">
        <v>1582</v>
      </c>
      <c r="I97" s="5">
        <v>1</v>
      </c>
    </row>
    <row r="98" spans="1:9" x14ac:dyDescent="0.25">
      <c r="A98" s="5" t="s">
        <v>1682</v>
      </c>
      <c r="B98" s="5" t="s">
        <v>470</v>
      </c>
      <c r="C98" s="5" t="s">
        <v>163</v>
      </c>
      <c r="D98" s="6">
        <v>46181</v>
      </c>
      <c r="E98" s="5">
        <v>19788.009999999998</v>
      </c>
      <c r="F98" s="5" t="s">
        <v>1579</v>
      </c>
      <c r="H98" s="5" t="s">
        <v>1575</v>
      </c>
      <c r="I98" s="5">
        <v>1</v>
      </c>
    </row>
    <row r="99" spans="1:9" x14ac:dyDescent="0.25">
      <c r="A99" s="5" t="s">
        <v>1683</v>
      </c>
      <c r="B99" s="5" t="s">
        <v>467</v>
      </c>
      <c r="C99" s="5" t="s">
        <v>163</v>
      </c>
      <c r="E99" s="5">
        <v>0</v>
      </c>
      <c r="F99" s="5" t="s">
        <v>1573</v>
      </c>
      <c r="G99" s="5" t="s">
        <v>1574</v>
      </c>
      <c r="H99" s="5" t="s">
        <v>1586</v>
      </c>
      <c r="I99" s="5">
        <v>1</v>
      </c>
    </row>
    <row r="100" spans="1:9" x14ac:dyDescent="0.25">
      <c r="A100" s="5" t="s">
        <v>1684</v>
      </c>
      <c r="B100" s="5" t="s">
        <v>1355</v>
      </c>
      <c r="C100" s="5" t="s">
        <v>122</v>
      </c>
      <c r="E100" s="5">
        <v>0</v>
      </c>
      <c r="F100" s="5" t="s">
        <v>1597</v>
      </c>
      <c r="G100" s="5" t="s">
        <v>1600</v>
      </c>
      <c r="H100" s="5" t="s">
        <v>1575</v>
      </c>
      <c r="I100" s="5">
        <v>2</v>
      </c>
    </row>
    <row r="101" spans="1:9" x14ac:dyDescent="0.25">
      <c r="A101" s="5" t="s">
        <v>1685</v>
      </c>
      <c r="B101" s="5" t="s">
        <v>545</v>
      </c>
      <c r="C101" s="5" t="s">
        <v>112</v>
      </c>
      <c r="D101" s="6">
        <v>46256</v>
      </c>
      <c r="E101" s="5">
        <v>23270.14</v>
      </c>
      <c r="F101" s="5" t="s">
        <v>1579</v>
      </c>
      <c r="H101" s="5" t="s">
        <v>1575</v>
      </c>
      <c r="I101" s="5">
        <v>1</v>
      </c>
    </row>
    <row r="102" spans="1:9" x14ac:dyDescent="0.25">
      <c r="A102" s="5" t="s">
        <v>1686</v>
      </c>
      <c r="B102" s="5" t="s">
        <v>212</v>
      </c>
      <c r="C102" s="5" t="s">
        <v>112</v>
      </c>
      <c r="D102" s="6">
        <v>46150</v>
      </c>
      <c r="E102" s="5">
        <v>1371.08</v>
      </c>
      <c r="F102" s="5" t="s">
        <v>1579</v>
      </c>
      <c r="H102" s="5" t="s">
        <v>1582</v>
      </c>
      <c r="I102" s="5">
        <v>1</v>
      </c>
    </row>
    <row r="103" spans="1:9" x14ac:dyDescent="0.25">
      <c r="A103" s="5" t="s">
        <v>1687</v>
      </c>
      <c r="B103" s="5" t="s">
        <v>452</v>
      </c>
      <c r="C103" s="5" t="s">
        <v>138</v>
      </c>
      <c r="D103" s="6">
        <v>46355</v>
      </c>
      <c r="E103" s="5">
        <v>773.2</v>
      </c>
      <c r="F103" s="5" t="s">
        <v>1579</v>
      </c>
      <c r="H103" s="5" t="s">
        <v>1582</v>
      </c>
      <c r="I103" s="5">
        <v>1</v>
      </c>
    </row>
    <row r="104" spans="1:9" x14ac:dyDescent="0.25">
      <c r="A104" s="5" t="s">
        <v>1688</v>
      </c>
      <c r="B104" s="5" t="s">
        <v>1259</v>
      </c>
      <c r="C104" s="5" t="s">
        <v>49</v>
      </c>
      <c r="D104" s="6">
        <v>46313</v>
      </c>
      <c r="E104" s="5">
        <v>22399.62</v>
      </c>
      <c r="F104" s="5" t="s">
        <v>1579</v>
      </c>
      <c r="H104" s="5" t="s">
        <v>1575</v>
      </c>
      <c r="I104" s="5">
        <v>2</v>
      </c>
    </row>
    <row r="105" spans="1:9" x14ac:dyDescent="0.25">
      <c r="A105" s="5" t="s">
        <v>1689</v>
      </c>
      <c r="B105" s="5" t="s">
        <v>1001</v>
      </c>
      <c r="C105" s="5" t="s">
        <v>112</v>
      </c>
      <c r="E105" s="5">
        <v>0</v>
      </c>
      <c r="F105" s="5" t="s">
        <v>1597</v>
      </c>
      <c r="G105" s="5" t="s">
        <v>1574</v>
      </c>
      <c r="H105" s="5" t="s">
        <v>1575</v>
      </c>
      <c r="I105" s="5">
        <v>1</v>
      </c>
    </row>
    <row r="106" spans="1:9" x14ac:dyDescent="0.25">
      <c r="A106" s="5" t="s">
        <v>1690</v>
      </c>
      <c r="B106" s="5" t="s">
        <v>389</v>
      </c>
      <c r="C106" s="5" t="s">
        <v>41</v>
      </c>
      <c r="D106" s="6">
        <v>46236</v>
      </c>
      <c r="E106" s="5">
        <v>2815.65</v>
      </c>
      <c r="F106" s="5" t="s">
        <v>1579</v>
      </c>
      <c r="H106" s="5" t="s">
        <v>1575</v>
      </c>
      <c r="I106" s="5">
        <v>2</v>
      </c>
    </row>
    <row r="107" spans="1:9" x14ac:dyDescent="0.25">
      <c r="A107" s="5" t="s">
        <v>1691</v>
      </c>
      <c r="B107" s="5" t="s">
        <v>1232</v>
      </c>
      <c r="C107" s="5" t="s">
        <v>163</v>
      </c>
      <c r="E107" s="5">
        <v>0</v>
      </c>
      <c r="F107" s="5" t="s">
        <v>1573</v>
      </c>
      <c r="G107" s="5" t="s">
        <v>1598</v>
      </c>
      <c r="H107" s="5" t="s">
        <v>1586</v>
      </c>
      <c r="I107" s="5">
        <v>1</v>
      </c>
    </row>
    <row r="108" spans="1:9" x14ac:dyDescent="0.25">
      <c r="A108" s="5" t="s">
        <v>1692</v>
      </c>
      <c r="B108" s="5" t="s">
        <v>1442</v>
      </c>
      <c r="C108" s="5" t="s">
        <v>32</v>
      </c>
      <c r="E108" s="5">
        <v>0</v>
      </c>
      <c r="F108" s="5" t="s">
        <v>1573</v>
      </c>
      <c r="G108" s="5" t="s">
        <v>1603</v>
      </c>
      <c r="H108" s="5" t="s">
        <v>1586</v>
      </c>
      <c r="I108" s="5">
        <v>1</v>
      </c>
    </row>
    <row r="109" spans="1:9" x14ac:dyDescent="0.25">
      <c r="A109" s="5" t="s">
        <v>1693</v>
      </c>
      <c r="B109" s="5" t="s">
        <v>1106</v>
      </c>
      <c r="C109" s="5" t="s">
        <v>36</v>
      </c>
      <c r="E109" s="5">
        <v>0</v>
      </c>
      <c r="F109" s="5" t="s">
        <v>1597</v>
      </c>
      <c r="G109" s="5" t="s">
        <v>1600</v>
      </c>
      <c r="H109" s="5" t="s">
        <v>1582</v>
      </c>
      <c r="I109" s="5">
        <v>2</v>
      </c>
    </row>
    <row r="110" spans="1:9" x14ac:dyDescent="0.25">
      <c r="A110" s="5" t="s">
        <v>1694</v>
      </c>
      <c r="B110" s="5" t="s">
        <v>1103</v>
      </c>
      <c r="C110" s="5" t="s">
        <v>138</v>
      </c>
      <c r="D110" s="6">
        <v>46104</v>
      </c>
      <c r="E110" s="5">
        <v>5469.72</v>
      </c>
      <c r="F110" s="5" t="s">
        <v>1579</v>
      </c>
      <c r="H110" s="5" t="s">
        <v>1575</v>
      </c>
      <c r="I110" s="5">
        <v>2</v>
      </c>
    </row>
    <row r="111" spans="1:9" x14ac:dyDescent="0.25">
      <c r="A111" s="5" t="s">
        <v>1695</v>
      </c>
      <c r="B111" s="5" t="s">
        <v>584</v>
      </c>
      <c r="C111" s="5" t="s">
        <v>112</v>
      </c>
      <c r="E111" s="5">
        <v>0</v>
      </c>
      <c r="F111" s="5" t="s">
        <v>1573</v>
      </c>
      <c r="G111" s="5" t="s">
        <v>1574</v>
      </c>
      <c r="H111" s="5" t="s">
        <v>1586</v>
      </c>
      <c r="I111" s="5">
        <v>2</v>
      </c>
    </row>
    <row r="112" spans="1:9" x14ac:dyDescent="0.25">
      <c r="A112" s="5" t="s">
        <v>1696</v>
      </c>
      <c r="B112" s="5" t="s">
        <v>67</v>
      </c>
      <c r="C112" s="5" t="s">
        <v>36</v>
      </c>
      <c r="D112" s="6">
        <v>46293</v>
      </c>
      <c r="E112" s="5">
        <v>3130.58</v>
      </c>
      <c r="F112" s="5" t="s">
        <v>1579</v>
      </c>
      <c r="H112" s="5" t="s">
        <v>1575</v>
      </c>
      <c r="I112" s="5">
        <v>1</v>
      </c>
    </row>
    <row r="113" spans="1:9" x14ac:dyDescent="0.25">
      <c r="A113" s="5" t="s">
        <v>1697</v>
      </c>
      <c r="B113" s="5" t="s">
        <v>446</v>
      </c>
      <c r="C113" s="5" t="s">
        <v>163</v>
      </c>
      <c r="D113" s="6">
        <v>46190</v>
      </c>
      <c r="E113" s="5">
        <v>8868.9599999999991</v>
      </c>
      <c r="F113" s="5" t="s">
        <v>1579</v>
      </c>
      <c r="H113" s="5" t="s">
        <v>1582</v>
      </c>
      <c r="I113" s="5">
        <v>1</v>
      </c>
    </row>
    <row r="114" spans="1:9" x14ac:dyDescent="0.25">
      <c r="A114" s="5" t="s">
        <v>1698</v>
      </c>
      <c r="B114" s="5" t="s">
        <v>44</v>
      </c>
      <c r="C114" s="5" t="s">
        <v>45</v>
      </c>
      <c r="D114" s="6">
        <v>46362</v>
      </c>
      <c r="E114" s="5">
        <v>18801.84</v>
      </c>
      <c r="F114" s="5" t="s">
        <v>1579</v>
      </c>
      <c r="H114" s="5" t="s">
        <v>1575</v>
      </c>
      <c r="I114" s="5">
        <v>1</v>
      </c>
    </row>
    <row r="115" spans="1:9" x14ac:dyDescent="0.25">
      <c r="A115" s="5" t="s">
        <v>1699</v>
      </c>
      <c r="B115" s="5" t="s">
        <v>257</v>
      </c>
      <c r="C115" s="5" t="s">
        <v>49</v>
      </c>
      <c r="D115" s="6">
        <v>46206</v>
      </c>
      <c r="E115" s="5">
        <v>3121.92</v>
      </c>
      <c r="F115" s="5" t="s">
        <v>1579</v>
      </c>
      <c r="H115" s="5" t="s">
        <v>1586</v>
      </c>
      <c r="I115" s="5">
        <v>1</v>
      </c>
    </row>
    <row r="116" spans="1:9" x14ac:dyDescent="0.25">
      <c r="A116" s="5" t="s">
        <v>1700</v>
      </c>
      <c r="B116" s="5" t="s">
        <v>1157</v>
      </c>
      <c r="C116" s="5" t="s">
        <v>85</v>
      </c>
      <c r="D116" s="6">
        <v>46278</v>
      </c>
      <c r="E116" s="5">
        <v>16271.61</v>
      </c>
      <c r="F116" s="5" t="s">
        <v>1579</v>
      </c>
      <c r="H116" s="5" t="s">
        <v>1582</v>
      </c>
      <c r="I116" s="5">
        <v>3</v>
      </c>
    </row>
    <row r="117" spans="1:9" x14ac:dyDescent="0.25">
      <c r="A117" s="5" t="s">
        <v>1701</v>
      </c>
      <c r="B117" s="5" t="s">
        <v>950</v>
      </c>
      <c r="C117" s="5" t="s">
        <v>36</v>
      </c>
      <c r="D117" s="6">
        <v>46251</v>
      </c>
      <c r="E117" s="5">
        <v>10525.79</v>
      </c>
      <c r="F117" s="5" t="s">
        <v>1579</v>
      </c>
      <c r="H117" s="5" t="s">
        <v>1586</v>
      </c>
      <c r="I117" s="5">
        <v>1</v>
      </c>
    </row>
    <row r="118" spans="1:9" x14ac:dyDescent="0.25">
      <c r="A118" s="5" t="s">
        <v>1702</v>
      </c>
      <c r="B118" s="5" t="s">
        <v>1088</v>
      </c>
      <c r="C118" s="5" t="s">
        <v>85</v>
      </c>
      <c r="E118" s="5">
        <v>0</v>
      </c>
      <c r="F118" s="5" t="s">
        <v>1573</v>
      </c>
      <c r="G118" s="5" t="s">
        <v>1641</v>
      </c>
      <c r="H118" s="5" t="s">
        <v>1575</v>
      </c>
      <c r="I118" s="5">
        <v>1</v>
      </c>
    </row>
    <row r="119" spans="1:9" x14ac:dyDescent="0.25">
      <c r="A119" s="5" t="s">
        <v>1703</v>
      </c>
      <c r="B119" s="5" t="s">
        <v>917</v>
      </c>
      <c r="C119" s="5" t="s">
        <v>45</v>
      </c>
      <c r="D119" s="6">
        <v>46064</v>
      </c>
      <c r="E119" s="5">
        <v>2573.33</v>
      </c>
      <c r="F119" s="5" t="s">
        <v>1579</v>
      </c>
      <c r="H119" s="5" t="s">
        <v>1582</v>
      </c>
      <c r="I119" s="5">
        <v>1</v>
      </c>
    </row>
    <row r="120" spans="1:9" x14ac:dyDescent="0.25">
      <c r="A120" s="5" t="s">
        <v>1704</v>
      </c>
      <c r="B120" s="5" t="s">
        <v>227</v>
      </c>
      <c r="C120" s="5" t="s">
        <v>41</v>
      </c>
      <c r="D120" s="6">
        <v>46279</v>
      </c>
      <c r="E120" s="5">
        <v>23543.79</v>
      </c>
      <c r="F120" s="5" t="s">
        <v>1579</v>
      </c>
      <c r="H120" s="5" t="s">
        <v>1575</v>
      </c>
      <c r="I120" s="5">
        <v>1</v>
      </c>
    </row>
    <row r="121" spans="1:9" x14ac:dyDescent="0.25">
      <c r="A121" s="5" t="s">
        <v>1705</v>
      </c>
      <c r="B121" s="5" t="s">
        <v>1154</v>
      </c>
      <c r="C121" s="5" t="s">
        <v>102</v>
      </c>
      <c r="D121" s="6">
        <v>46287</v>
      </c>
      <c r="E121" s="5">
        <v>17648.91</v>
      </c>
      <c r="F121" s="5" t="s">
        <v>1579</v>
      </c>
      <c r="H121" s="5" t="s">
        <v>1575</v>
      </c>
      <c r="I121" s="5">
        <v>1</v>
      </c>
    </row>
    <row r="122" spans="1:9" x14ac:dyDescent="0.25">
      <c r="A122" s="5" t="s">
        <v>1706</v>
      </c>
      <c r="B122" s="5" t="s">
        <v>1241</v>
      </c>
      <c r="C122" s="5" t="s">
        <v>41</v>
      </c>
      <c r="D122" s="6">
        <v>46154</v>
      </c>
      <c r="E122" s="5">
        <v>17976.11</v>
      </c>
      <c r="F122" s="5" t="s">
        <v>1579</v>
      </c>
      <c r="H122" s="5" t="s">
        <v>1582</v>
      </c>
      <c r="I122" s="5">
        <v>2</v>
      </c>
    </row>
    <row r="123" spans="1:9" x14ac:dyDescent="0.25">
      <c r="A123" s="5" t="s">
        <v>1707</v>
      </c>
      <c r="B123" s="5" t="s">
        <v>536</v>
      </c>
      <c r="C123" s="5" t="s">
        <v>112</v>
      </c>
      <c r="D123" s="6">
        <v>46330</v>
      </c>
      <c r="E123" s="5">
        <v>19263.63</v>
      </c>
      <c r="F123" s="5" t="s">
        <v>1579</v>
      </c>
      <c r="H123" s="5" t="s">
        <v>1575</v>
      </c>
      <c r="I123" s="5">
        <v>1</v>
      </c>
    </row>
    <row r="124" spans="1:9" x14ac:dyDescent="0.25">
      <c r="A124" s="5" t="s">
        <v>1708</v>
      </c>
      <c r="B124" s="5" t="s">
        <v>977</v>
      </c>
      <c r="C124" s="5" t="s">
        <v>89</v>
      </c>
      <c r="D124" s="6">
        <v>46273</v>
      </c>
      <c r="E124" s="5">
        <v>13363.15</v>
      </c>
      <c r="F124" s="5" t="s">
        <v>1579</v>
      </c>
      <c r="H124" s="5" t="s">
        <v>1575</v>
      </c>
      <c r="I124" s="5">
        <v>3</v>
      </c>
    </row>
    <row r="125" spans="1:9" x14ac:dyDescent="0.25">
      <c r="A125" s="5" t="s">
        <v>1709</v>
      </c>
      <c r="B125" s="5" t="s">
        <v>530</v>
      </c>
      <c r="C125" s="5" t="s">
        <v>138</v>
      </c>
      <c r="D125" s="6">
        <v>46150</v>
      </c>
      <c r="E125" s="5">
        <v>37750.480000000003</v>
      </c>
      <c r="F125" s="5" t="s">
        <v>1579</v>
      </c>
      <c r="H125" s="5" t="s">
        <v>1582</v>
      </c>
      <c r="I125" s="5">
        <v>1</v>
      </c>
    </row>
    <row r="126" spans="1:9" x14ac:dyDescent="0.25">
      <c r="A126" s="5" t="s">
        <v>1710</v>
      </c>
      <c r="B126" s="5" t="s">
        <v>677</v>
      </c>
      <c r="C126" s="5" t="s">
        <v>122</v>
      </c>
      <c r="D126" s="6">
        <v>46201</v>
      </c>
      <c r="E126" s="5">
        <v>23292.45</v>
      </c>
      <c r="F126" s="5" t="s">
        <v>1579</v>
      </c>
      <c r="H126" s="5" t="s">
        <v>1575</v>
      </c>
      <c r="I126" s="5">
        <v>1</v>
      </c>
    </row>
    <row r="127" spans="1:9" x14ac:dyDescent="0.25">
      <c r="A127" s="5" t="s">
        <v>1711</v>
      </c>
      <c r="B127" s="5" t="s">
        <v>494</v>
      </c>
      <c r="C127" s="5" t="s">
        <v>138</v>
      </c>
      <c r="D127" s="6">
        <v>46250</v>
      </c>
      <c r="E127" s="5">
        <v>21622.46</v>
      </c>
      <c r="F127" s="5" t="s">
        <v>1579</v>
      </c>
      <c r="H127" s="5" t="s">
        <v>1586</v>
      </c>
      <c r="I127" s="5">
        <v>1</v>
      </c>
    </row>
    <row r="128" spans="1:9" x14ac:dyDescent="0.25">
      <c r="A128" s="5" t="s">
        <v>1712</v>
      </c>
      <c r="B128" s="5" t="s">
        <v>383</v>
      </c>
      <c r="C128" s="5" t="s">
        <v>26</v>
      </c>
      <c r="D128" s="6">
        <v>46155</v>
      </c>
      <c r="E128" s="5">
        <v>51395.3</v>
      </c>
      <c r="F128" s="5" t="s">
        <v>1579</v>
      </c>
      <c r="H128" s="5" t="s">
        <v>1586</v>
      </c>
      <c r="I128" s="5">
        <v>1</v>
      </c>
    </row>
    <row r="129" spans="1:9" x14ac:dyDescent="0.25">
      <c r="A129" s="5" t="s">
        <v>1713</v>
      </c>
      <c r="B129" s="5" t="s">
        <v>1064</v>
      </c>
      <c r="C129" s="5" t="s">
        <v>122</v>
      </c>
      <c r="D129" s="6">
        <v>46144</v>
      </c>
      <c r="E129" s="5">
        <v>25150.240000000002</v>
      </c>
      <c r="F129" s="5" t="s">
        <v>1579</v>
      </c>
      <c r="H129" s="5" t="s">
        <v>1582</v>
      </c>
      <c r="I129" s="5">
        <v>1</v>
      </c>
    </row>
    <row r="130" spans="1:9" x14ac:dyDescent="0.25">
      <c r="A130" s="5" t="s">
        <v>1714</v>
      </c>
      <c r="B130" s="5" t="s">
        <v>497</v>
      </c>
      <c r="C130" s="5" t="s">
        <v>49</v>
      </c>
      <c r="D130" s="6">
        <v>46076</v>
      </c>
      <c r="E130" s="5">
        <v>41160.99</v>
      </c>
      <c r="F130" s="5" t="s">
        <v>1579</v>
      </c>
      <c r="H130" s="5" t="s">
        <v>1575</v>
      </c>
      <c r="I130" s="5">
        <v>1</v>
      </c>
    </row>
    <row r="131" spans="1:9" x14ac:dyDescent="0.25">
      <c r="A131" s="5" t="s">
        <v>1715</v>
      </c>
      <c r="B131" s="5" t="s">
        <v>488</v>
      </c>
      <c r="C131" s="5" t="s">
        <v>122</v>
      </c>
      <c r="D131" s="6">
        <v>46194</v>
      </c>
      <c r="E131" s="5">
        <v>2677.78</v>
      </c>
      <c r="F131" s="5" t="s">
        <v>1579</v>
      </c>
      <c r="H131" s="5" t="s">
        <v>1586</v>
      </c>
      <c r="I131" s="5">
        <v>1</v>
      </c>
    </row>
    <row r="132" spans="1:9" x14ac:dyDescent="0.25">
      <c r="A132" s="5" t="s">
        <v>1716</v>
      </c>
      <c r="B132" s="5" t="s">
        <v>848</v>
      </c>
      <c r="C132" s="5" t="s">
        <v>89</v>
      </c>
      <c r="D132" s="6">
        <v>46140</v>
      </c>
      <c r="E132" s="5">
        <v>10203.32</v>
      </c>
      <c r="F132" s="5" t="s">
        <v>1579</v>
      </c>
      <c r="H132" s="5" t="s">
        <v>1575</v>
      </c>
      <c r="I132" s="5">
        <v>2</v>
      </c>
    </row>
    <row r="133" spans="1:9" x14ac:dyDescent="0.25">
      <c r="A133" s="5" t="s">
        <v>1717</v>
      </c>
      <c r="B133" s="5" t="s">
        <v>1067</v>
      </c>
      <c r="C133" s="5" t="s">
        <v>20</v>
      </c>
      <c r="D133" s="6">
        <v>46213</v>
      </c>
      <c r="E133" s="5">
        <v>6296.79</v>
      </c>
      <c r="F133" s="5" t="s">
        <v>1579</v>
      </c>
      <c r="H133" s="5" t="s">
        <v>1582</v>
      </c>
      <c r="I133" s="5">
        <v>1</v>
      </c>
    </row>
    <row r="134" spans="1:9" x14ac:dyDescent="0.25">
      <c r="A134" s="5" t="s">
        <v>1718</v>
      </c>
      <c r="B134" s="5" t="s">
        <v>776</v>
      </c>
      <c r="C134" s="5" t="s">
        <v>71</v>
      </c>
      <c r="D134" s="6">
        <v>46198</v>
      </c>
      <c r="E134" s="5">
        <v>11639.54</v>
      </c>
      <c r="F134" s="5" t="s">
        <v>1579</v>
      </c>
      <c r="H134" s="5" t="s">
        <v>1586</v>
      </c>
      <c r="I134" s="5">
        <v>2</v>
      </c>
    </row>
    <row r="135" spans="1:9" x14ac:dyDescent="0.25">
      <c r="A135" s="5" t="s">
        <v>1719</v>
      </c>
      <c r="B135" s="5" t="s">
        <v>153</v>
      </c>
      <c r="C135" s="5" t="s">
        <v>12</v>
      </c>
      <c r="D135" s="6">
        <v>46220</v>
      </c>
      <c r="E135" s="5">
        <v>1071.8399999999999</v>
      </c>
      <c r="F135" s="5" t="s">
        <v>1579</v>
      </c>
      <c r="H135" s="5" t="s">
        <v>1582</v>
      </c>
      <c r="I135" s="5">
        <v>1</v>
      </c>
    </row>
    <row r="136" spans="1:9" x14ac:dyDescent="0.25">
      <c r="A136" s="5" t="s">
        <v>1720</v>
      </c>
      <c r="B136" s="5" t="s">
        <v>902</v>
      </c>
      <c r="C136" s="5" t="s">
        <v>32</v>
      </c>
      <c r="D136" s="6">
        <v>46145</v>
      </c>
      <c r="E136" s="5">
        <v>17081.009999999998</v>
      </c>
      <c r="F136" s="5" t="s">
        <v>1579</v>
      </c>
      <c r="H136" s="5" t="s">
        <v>1586</v>
      </c>
      <c r="I136" s="5">
        <v>1</v>
      </c>
    </row>
    <row r="137" spans="1:9" x14ac:dyDescent="0.25">
      <c r="A137" s="5" t="s">
        <v>1721</v>
      </c>
      <c r="B137" s="5" t="s">
        <v>1379</v>
      </c>
      <c r="C137" s="5" t="s">
        <v>112</v>
      </c>
      <c r="D137" s="6">
        <v>46265</v>
      </c>
      <c r="E137" s="5">
        <v>32802.129999999997</v>
      </c>
      <c r="F137" s="5" t="s">
        <v>1579</v>
      </c>
      <c r="H137" s="5" t="s">
        <v>1575</v>
      </c>
      <c r="I137" s="5">
        <v>2</v>
      </c>
    </row>
    <row r="138" spans="1:9" x14ac:dyDescent="0.25">
      <c r="A138" s="5" t="s">
        <v>1722</v>
      </c>
      <c r="B138" s="5" t="s">
        <v>1019</v>
      </c>
      <c r="C138" s="5" t="s">
        <v>85</v>
      </c>
      <c r="D138" s="6">
        <v>46281</v>
      </c>
      <c r="E138" s="5">
        <v>21515.87</v>
      </c>
      <c r="F138" s="5" t="s">
        <v>1579</v>
      </c>
      <c r="H138" s="5" t="s">
        <v>1575</v>
      </c>
      <c r="I138" s="5">
        <v>1</v>
      </c>
    </row>
    <row r="139" spans="1:9" x14ac:dyDescent="0.25">
      <c r="A139" s="5" t="s">
        <v>1723</v>
      </c>
      <c r="B139" s="5" t="s">
        <v>371</v>
      </c>
      <c r="C139" s="5" t="s">
        <v>20</v>
      </c>
      <c r="D139" s="6">
        <v>46208</v>
      </c>
      <c r="E139" s="5">
        <v>5568.83</v>
      </c>
      <c r="F139" s="5" t="s">
        <v>1579</v>
      </c>
      <c r="H139" s="5" t="s">
        <v>1586</v>
      </c>
      <c r="I139" s="5">
        <v>2</v>
      </c>
    </row>
    <row r="140" spans="1:9" x14ac:dyDescent="0.25">
      <c r="A140" s="5" t="s">
        <v>1724</v>
      </c>
      <c r="B140" s="5" t="s">
        <v>518</v>
      </c>
      <c r="C140" s="5" t="s">
        <v>122</v>
      </c>
      <c r="D140" s="6">
        <v>46097</v>
      </c>
      <c r="E140" s="5">
        <v>7822.4</v>
      </c>
      <c r="F140" s="5" t="s">
        <v>1579</v>
      </c>
      <c r="H140" s="5" t="s">
        <v>1586</v>
      </c>
      <c r="I140" s="5">
        <v>1</v>
      </c>
    </row>
    <row r="141" spans="1:9" x14ac:dyDescent="0.25">
      <c r="A141" s="5" t="s">
        <v>1725</v>
      </c>
      <c r="B141" s="5" t="s">
        <v>248</v>
      </c>
      <c r="C141" s="5" t="s">
        <v>32</v>
      </c>
      <c r="D141" s="6">
        <v>46051</v>
      </c>
      <c r="E141" s="5">
        <v>12973.69</v>
      </c>
      <c r="F141" s="5" t="s">
        <v>1579</v>
      </c>
      <c r="H141" s="5" t="s">
        <v>1586</v>
      </c>
      <c r="I141" s="5">
        <v>1</v>
      </c>
    </row>
    <row r="142" spans="1:9" x14ac:dyDescent="0.25">
      <c r="A142" s="5" t="s">
        <v>1726</v>
      </c>
      <c r="B142" s="5" t="s">
        <v>542</v>
      </c>
      <c r="C142" s="5" t="s">
        <v>45</v>
      </c>
      <c r="E142" s="5">
        <v>0</v>
      </c>
      <c r="F142" s="5" t="s">
        <v>1597</v>
      </c>
      <c r="G142" s="5" t="s">
        <v>1574</v>
      </c>
      <c r="H142" s="5" t="s">
        <v>1582</v>
      </c>
      <c r="I142" s="5">
        <v>2</v>
      </c>
    </row>
    <row r="143" spans="1:9" x14ac:dyDescent="0.25">
      <c r="A143" s="5" t="s">
        <v>1727</v>
      </c>
      <c r="B143" s="5" t="s">
        <v>1043</v>
      </c>
      <c r="C143" s="5" t="s">
        <v>53</v>
      </c>
      <c r="D143" s="6">
        <v>46129</v>
      </c>
      <c r="E143" s="5">
        <v>13465.39</v>
      </c>
      <c r="F143" s="5" t="s">
        <v>1579</v>
      </c>
      <c r="H143" s="5" t="s">
        <v>1586</v>
      </c>
      <c r="I143" s="5">
        <v>1</v>
      </c>
    </row>
    <row r="144" spans="1:9" x14ac:dyDescent="0.25">
      <c r="A144" s="5" t="s">
        <v>1728</v>
      </c>
      <c r="B144" s="5" t="s">
        <v>137</v>
      </c>
      <c r="C144" s="5" t="s">
        <v>138</v>
      </c>
      <c r="D144" s="6">
        <v>46129</v>
      </c>
      <c r="E144" s="5">
        <v>23153</v>
      </c>
      <c r="F144" s="5" t="s">
        <v>1579</v>
      </c>
      <c r="H144" s="5" t="s">
        <v>1582</v>
      </c>
      <c r="I144" s="5">
        <v>1</v>
      </c>
    </row>
    <row r="145" spans="1:9" x14ac:dyDescent="0.25">
      <c r="A145" s="5" t="s">
        <v>1729</v>
      </c>
      <c r="B145" s="5" t="s">
        <v>1076</v>
      </c>
      <c r="C145" s="5" t="s">
        <v>138</v>
      </c>
      <c r="D145" s="6">
        <v>46193</v>
      </c>
      <c r="E145" s="5">
        <v>12012.38</v>
      </c>
      <c r="F145" s="5" t="s">
        <v>1579</v>
      </c>
      <c r="H145" s="5" t="s">
        <v>1582</v>
      </c>
      <c r="I145" s="5">
        <v>2</v>
      </c>
    </row>
    <row r="146" spans="1:9" x14ac:dyDescent="0.25">
      <c r="A146" s="5" t="s">
        <v>1730</v>
      </c>
      <c r="B146" s="5" t="s">
        <v>932</v>
      </c>
      <c r="C146" s="5" t="s">
        <v>36</v>
      </c>
      <c r="E146" s="5">
        <v>0</v>
      </c>
      <c r="F146" s="5" t="s">
        <v>1597</v>
      </c>
      <c r="G146" s="5" t="s">
        <v>1678</v>
      </c>
      <c r="H146" s="5" t="s">
        <v>1575</v>
      </c>
      <c r="I146" s="5">
        <v>1</v>
      </c>
    </row>
    <row r="147" spans="1:9" x14ac:dyDescent="0.25">
      <c r="A147" s="5" t="s">
        <v>1731</v>
      </c>
      <c r="B147" s="5" t="s">
        <v>1469</v>
      </c>
      <c r="C147" s="5" t="s">
        <v>102</v>
      </c>
      <c r="D147" s="6">
        <v>46179</v>
      </c>
      <c r="E147" s="5">
        <v>22785.35</v>
      </c>
      <c r="F147" s="5" t="s">
        <v>1579</v>
      </c>
      <c r="H147" s="5" t="s">
        <v>1582</v>
      </c>
      <c r="I147" s="5">
        <v>1</v>
      </c>
    </row>
    <row r="148" spans="1:9" x14ac:dyDescent="0.25">
      <c r="A148" s="5" t="s">
        <v>1732</v>
      </c>
      <c r="B148" s="5" t="s">
        <v>803</v>
      </c>
      <c r="C148" s="5" t="s">
        <v>53</v>
      </c>
      <c r="D148" s="6">
        <v>46204</v>
      </c>
      <c r="E148" s="5">
        <v>16210.04</v>
      </c>
      <c r="F148" s="5" t="s">
        <v>1579</v>
      </c>
      <c r="H148" s="5" t="s">
        <v>1586</v>
      </c>
      <c r="I148" s="5">
        <v>1</v>
      </c>
    </row>
    <row r="149" spans="1:9" x14ac:dyDescent="0.25">
      <c r="A149" s="5" t="s">
        <v>1733</v>
      </c>
      <c r="B149" s="5" t="s">
        <v>503</v>
      </c>
      <c r="C149" s="5" t="s">
        <v>26</v>
      </c>
      <c r="E149" s="5">
        <v>0</v>
      </c>
      <c r="F149" s="5" t="s">
        <v>1573</v>
      </c>
      <c r="G149" s="5" t="s">
        <v>1603</v>
      </c>
      <c r="H149" s="5" t="s">
        <v>1582</v>
      </c>
      <c r="I149" s="5">
        <v>1</v>
      </c>
    </row>
    <row r="150" spans="1:9" x14ac:dyDescent="0.25">
      <c r="A150" s="5" t="s">
        <v>1734</v>
      </c>
      <c r="B150" s="5" t="s">
        <v>1187</v>
      </c>
      <c r="C150" s="5" t="s">
        <v>85</v>
      </c>
      <c r="D150" s="6">
        <v>46347</v>
      </c>
      <c r="E150" s="5">
        <v>18084.310000000001</v>
      </c>
      <c r="F150" s="5" t="s">
        <v>1579</v>
      </c>
      <c r="H150" s="5" t="s">
        <v>1582</v>
      </c>
      <c r="I150" s="5">
        <v>1</v>
      </c>
    </row>
    <row r="151" spans="1:9" x14ac:dyDescent="0.25">
      <c r="A151" s="5" t="s">
        <v>1735</v>
      </c>
      <c r="B151" s="5" t="s">
        <v>362</v>
      </c>
      <c r="C151" s="5" t="s">
        <v>170</v>
      </c>
      <c r="D151" s="6">
        <v>46226</v>
      </c>
      <c r="E151" s="5">
        <v>16016.79</v>
      </c>
      <c r="F151" s="5" t="s">
        <v>1579</v>
      </c>
      <c r="H151" s="5" t="s">
        <v>1586</v>
      </c>
      <c r="I151" s="5">
        <v>1</v>
      </c>
    </row>
    <row r="152" spans="1:9" x14ac:dyDescent="0.25">
      <c r="A152" s="5" t="s">
        <v>1736</v>
      </c>
      <c r="B152" s="5" t="s">
        <v>551</v>
      </c>
      <c r="C152" s="5" t="s">
        <v>75</v>
      </c>
      <c r="D152" s="6">
        <v>46162</v>
      </c>
      <c r="E152" s="5">
        <v>18999.97</v>
      </c>
      <c r="F152" s="5" t="s">
        <v>1579</v>
      </c>
      <c r="H152" s="5" t="s">
        <v>1582</v>
      </c>
      <c r="I152" s="5">
        <v>2</v>
      </c>
    </row>
    <row r="153" spans="1:9" x14ac:dyDescent="0.25">
      <c r="A153" s="5" t="s">
        <v>1737</v>
      </c>
      <c r="B153" s="5" t="s">
        <v>1558</v>
      </c>
      <c r="C153" s="5" t="s">
        <v>57</v>
      </c>
      <c r="E153" s="5">
        <v>0</v>
      </c>
      <c r="F153" s="5" t="s">
        <v>1573</v>
      </c>
      <c r="G153" s="5" t="s">
        <v>1667</v>
      </c>
      <c r="H153" s="5" t="s">
        <v>1575</v>
      </c>
      <c r="I153" s="5">
        <v>1</v>
      </c>
    </row>
    <row r="154" spans="1:9" x14ac:dyDescent="0.25">
      <c r="A154" s="5" t="s">
        <v>1738</v>
      </c>
      <c r="B154" s="5" t="s">
        <v>740</v>
      </c>
      <c r="C154" s="5" t="s">
        <v>71</v>
      </c>
      <c r="D154" s="6">
        <v>46220</v>
      </c>
      <c r="E154" s="5">
        <v>9663.33</v>
      </c>
      <c r="F154" s="5" t="s">
        <v>1579</v>
      </c>
      <c r="H154" s="5" t="s">
        <v>1575</v>
      </c>
      <c r="I154" s="5">
        <v>2</v>
      </c>
    </row>
    <row r="155" spans="1:9" x14ac:dyDescent="0.25">
      <c r="A155" s="5" t="s">
        <v>1739</v>
      </c>
      <c r="B155" s="5" t="s">
        <v>527</v>
      </c>
      <c r="C155" s="5" t="s">
        <v>32</v>
      </c>
      <c r="D155" s="6">
        <v>46350</v>
      </c>
      <c r="E155" s="5">
        <v>1059.1600000000001</v>
      </c>
      <c r="F155" s="5" t="s">
        <v>1579</v>
      </c>
      <c r="H155" s="5" t="s">
        <v>1582</v>
      </c>
      <c r="I155" s="5">
        <v>1</v>
      </c>
    </row>
    <row r="156" spans="1:9" x14ac:dyDescent="0.25">
      <c r="A156" s="5" t="s">
        <v>1740</v>
      </c>
      <c r="B156" s="5" t="s">
        <v>320</v>
      </c>
      <c r="C156" s="5" t="s">
        <v>112</v>
      </c>
      <c r="D156" s="6">
        <v>46115</v>
      </c>
      <c r="E156" s="5">
        <v>16235.02</v>
      </c>
      <c r="F156" s="5" t="s">
        <v>1579</v>
      </c>
      <c r="H156" s="5" t="s">
        <v>1586</v>
      </c>
      <c r="I156" s="5">
        <v>1</v>
      </c>
    </row>
    <row r="157" spans="1:9" x14ac:dyDescent="0.25">
      <c r="A157" s="5" t="s">
        <v>1741</v>
      </c>
      <c r="B157" s="5" t="s">
        <v>791</v>
      </c>
      <c r="C157" s="5" t="s">
        <v>36</v>
      </c>
      <c r="D157" s="6">
        <v>46149</v>
      </c>
      <c r="E157" s="5">
        <v>10409.379999999999</v>
      </c>
      <c r="F157" s="5" t="s">
        <v>1579</v>
      </c>
      <c r="H157" s="5" t="s">
        <v>1582</v>
      </c>
      <c r="I157" s="5">
        <v>1</v>
      </c>
    </row>
    <row r="158" spans="1:9" x14ac:dyDescent="0.25">
      <c r="A158" s="5" t="s">
        <v>1742</v>
      </c>
      <c r="B158" s="5" t="s">
        <v>533</v>
      </c>
      <c r="C158" s="5" t="s">
        <v>20</v>
      </c>
      <c r="D158" s="6">
        <v>46315</v>
      </c>
      <c r="E158" s="5">
        <v>6070.51</v>
      </c>
      <c r="F158" s="5" t="s">
        <v>1579</v>
      </c>
      <c r="H158" s="5" t="s">
        <v>1575</v>
      </c>
      <c r="I158" s="5">
        <v>1</v>
      </c>
    </row>
    <row r="159" spans="1:9" x14ac:dyDescent="0.25">
      <c r="A159" s="5" t="s">
        <v>1743</v>
      </c>
      <c r="B159" s="5" t="s">
        <v>401</v>
      </c>
      <c r="C159" s="5" t="s">
        <v>49</v>
      </c>
      <c r="D159" s="6">
        <v>46047</v>
      </c>
      <c r="E159" s="5">
        <v>17294.18</v>
      </c>
      <c r="F159" s="5" t="s">
        <v>1579</v>
      </c>
      <c r="H159" s="5" t="s">
        <v>1586</v>
      </c>
      <c r="I159" s="5">
        <v>1</v>
      </c>
    </row>
    <row r="160" spans="1:9" x14ac:dyDescent="0.25">
      <c r="A160" s="5" t="s">
        <v>1744</v>
      </c>
      <c r="B160" s="5" t="s">
        <v>758</v>
      </c>
      <c r="C160" s="5" t="s">
        <v>36</v>
      </c>
      <c r="E160" s="5">
        <v>0</v>
      </c>
      <c r="F160" s="5" t="s">
        <v>1597</v>
      </c>
      <c r="G160" s="5" t="s">
        <v>1641</v>
      </c>
      <c r="H160" s="5" t="s">
        <v>1582</v>
      </c>
      <c r="I160" s="5">
        <v>2</v>
      </c>
    </row>
    <row r="161" spans="1:9" x14ac:dyDescent="0.25">
      <c r="A161" s="5" t="s">
        <v>1745</v>
      </c>
      <c r="B161" s="5" t="s">
        <v>731</v>
      </c>
      <c r="C161" s="5" t="s">
        <v>112</v>
      </c>
      <c r="D161" s="6">
        <v>46225</v>
      </c>
      <c r="E161" s="5">
        <v>4917.1499999999996</v>
      </c>
      <c r="F161" s="5" t="s">
        <v>1579</v>
      </c>
      <c r="H161" s="5" t="s">
        <v>1575</v>
      </c>
      <c r="I161" s="5">
        <v>2</v>
      </c>
    </row>
    <row r="162" spans="1:9" x14ac:dyDescent="0.25">
      <c r="A162" s="5" t="s">
        <v>1746</v>
      </c>
      <c r="B162" s="5" t="s">
        <v>872</v>
      </c>
      <c r="C162" s="5" t="s">
        <v>163</v>
      </c>
      <c r="D162" s="6">
        <v>46161</v>
      </c>
      <c r="E162" s="5">
        <v>17862.14</v>
      </c>
      <c r="F162" s="5" t="s">
        <v>1579</v>
      </c>
      <c r="H162" s="5" t="s">
        <v>1575</v>
      </c>
      <c r="I162" s="5">
        <v>1</v>
      </c>
    </row>
    <row r="163" spans="1:9" x14ac:dyDescent="0.25">
      <c r="A163" s="5" t="s">
        <v>1747</v>
      </c>
      <c r="B163" s="5" t="s">
        <v>461</v>
      </c>
      <c r="C163" s="5" t="s">
        <v>26</v>
      </c>
      <c r="D163" s="6">
        <v>46139</v>
      </c>
      <c r="E163" s="5">
        <v>22097.55</v>
      </c>
      <c r="F163" s="5" t="s">
        <v>1579</v>
      </c>
      <c r="H163" s="5" t="s">
        <v>1586</v>
      </c>
      <c r="I163" s="5">
        <v>1</v>
      </c>
    </row>
    <row r="164" spans="1:9" x14ac:dyDescent="0.25">
      <c r="A164" s="5" t="s">
        <v>1748</v>
      </c>
      <c r="B164" s="5" t="s">
        <v>806</v>
      </c>
      <c r="C164" s="5" t="s">
        <v>49</v>
      </c>
      <c r="D164" s="6">
        <v>46266</v>
      </c>
      <c r="E164" s="5">
        <v>16880.96</v>
      </c>
      <c r="F164" s="5" t="s">
        <v>1579</v>
      </c>
      <c r="H164" s="5" t="s">
        <v>1586</v>
      </c>
      <c r="I164" s="5">
        <v>3</v>
      </c>
    </row>
    <row r="165" spans="1:9" x14ac:dyDescent="0.25">
      <c r="A165" s="5" t="s">
        <v>1749</v>
      </c>
      <c r="B165" s="5" t="s">
        <v>1478</v>
      </c>
      <c r="C165" s="5" t="s">
        <v>41</v>
      </c>
      <c r="D165" s="6">
        <v>46298</v>
      </c>
      <c r="E165" s="5">
        <v>32909.03</v>
      </c>
      <c r="F165" s="5" t="s">
        <v>1579</v>
      </c>
      <c r="H165" s="5" t="s">
        <v>1586</v>
      </c>
      <c r="I165" s="5">
        <v>1</v>
      </c>
    </row>
    <row r="166" spans="1:9" x14ac:dyDescent="0.25">
      <c r="A166" s="5" t="s">
        <v>1750</v>
      </c>
      <c r="B166" s="5" t="s">
        <v>509</v>
      </c>
      <c r="C166" s="5" t="s">
        <v>163</v>
      </c>
      <c r="D166" s="6">
        <v>46265</v>
      </c>
      <c r="E166" s="5">
        <v>10290.18</v>
      </c>
      <c r="F166" s="5" t="s">
        <v>1579</v>
      </c>
      <c r="H166" s="5" t="s">
        <v>1575</v>
      </c>
      <c r="I166" s="5">
        <v>2</v>
      </c>
    </row>
    <row r="167" spans="1:9" x14ac:dyDescent="0.25">
      <c r="A167" s="5" t="s">
        <v>1751</v>
      </c>
      <c r="B167" s="5" t="s">
        <v>317</v>
      </c>
      <c r="C167" s="5" t="s">
        <v>138</v>
      </c>
      <c r="D167" s="6">
        <v>46161</v>
      </c>
      <c r="E167" s="5">
        <v>17779.400000000001</v>
      </c>
      <c r="F167" s="5" t="s">
        <v>1579</v>
      </c>
      <c r="H167" s="5" t="s">
        <v>1582</v>
      </c>
      <c r="I167" s="5">
        <v>2</v>
      </c>
    </row>
    <row r="168" spans="1:9" x14ac:dyDescent="0.25">
      <c r="A168" s="5" t="s">
        <v>1752</v>
      </c>
      <c r="B168" s="5" t="s">
        <v>290</v>
      </c>
      <c r="C168" s="5" t="s">
        <v>89</v>
      </c>
      <c r="D168" s="6">
        <v>46150</v>
      </c>
      <c r="E168" s="5">
        <v>19840.599999999999</v>
      </c>
      <c r="F168" s="5" t="s">
        <v>1579</v>
      </c>
      <c r="H168" s="5" t="s">
        <v>1586</v>
      </c>
      <c r="I168" s="5">
        <v>1</v>
      </c>
    </row>
    <row r="169" spans="1:9" x14ac:dyDescent="0.25">
      <c r="A169" s="5" t="s">
        <v>1753</v>
      </c>
      <c r="B169" s="5" t="s">
        <v>111</v>
      </c>
      <c r="C169" s="5" t="s">
        <v>112</v>
      </c>
      <c r="D169" s="6">
        <v>46083</v>
      </c>
      <c r="E169" s="5">
        <v>1942.73</v>
      </c>
      <c r="F169" s="5" t="s">
        <v>1579</v>
      </c>
      <c r="H169" s="5" t="s">
        <v>1586</v>
      </c>
      <c r="I169" s="5">
        <v>2</v>
      </c>
    </row>
    <row r="170" spans="1:9" x14ac:dyDescent="0.25">
      <c r="A170" s="5" t="s">
        <v>1754</v>
      </c>
      <c r="B170" s="5" t="s">
        <v>485</v>
      </c>
      <c r="C170" s="5" t="s">
        <v>20</v>
      </c>
      <c r="D170" s="6">
        <v>46262</v>
      </c>
      <c r="E170" s="5">
        <v>50935.89</v>
      </c>
      <c r="F170" s="5" t="s">
        <v>1579</v>
      </c>
      <c r="H170" s="5" t="s">
        <v>1586</v>
      </c>
      <c r="I170" s="5">
        <v>1</v>
      </c>
    </row>
    <row r="171" spans="1:9" x14ac:dyDescent="0.25">
      <c r="A171" s="5" t="s">
        <v>1755</v>
      </c>
      <c r="B171" s="5" t="s">
        <v>332</v>
      </c>
      <c r="C171" s="5" t="s">
        <v>112</v>
      </c>
      <c r="E171" s="5">
        <v>0</v>
      </c>
      <c r="F171" s="5" t="s">
        <v>1573</v>
      </c>
      <c r="G171" s="5" t="s">
        <v>1574</v>
      </c>
      <c r="H171" s="5" t="s">
        <v>1582</v>
      </c>
      <c r="I171" s="5">
        <v>1</v>
      </c>
    </row>
    <row r="172" spans="1:9" x14ac:dyDescent="0.25">
      <c r="A172" s="5" t="s">
        <v>1756</v>
      </c>
      <c r="B172" s="5" t="s">
        <v>200</v>
      </c>
      <c r="C172" s="5" t="s">
        <v>170</v>
      </c>
      <c r="E172" s="5">
        <v>0</v>
      </c>
      <c r="F172" s="5" t="s">
        <v>1597</v>
      </c>
      <c r="G172" s="5" t="s">
        <v>1577</v>
      </c>
      <c r="H172" s="5" t="s">
        <v>1586</v>
      </c>
      <c r="I172" s="5">
        <v>1</v>
      </c>
    </row>
    <row r="173" spans="1:9" x14ac:dyDescent="0.25">
      <c r="A173" s="5" t="s">
        <v>1757</v>
      </c>
      <c r="B173" s="5" t="s">
        <v>1307</v>
      </c>
      <c r="C173" s="5" t="s">
        <v>36</v>
      </c>
      <c r="D173" s="6">
        <v>46362</v>
      </c>
      <c r="E173" s="5">
        <v>8525.34</v>
      </c>
      <c r="F173" s="5" t="s">
        <v>1579</v>
      </c>
      <c r="H173" s="5" t="s">
        <v>1586</v>
      </c>
      <c r="I173" s="5">
        <v>1</v>
      </c>
    </row>
    <row r="174" spans="1:9" x14ac:dyDescent="0.25">
      <c r="A174" s="5" t="s">
        <v>1758</v>
      </c>
      <c r="B174" s="5" t="s">
        <v>920</v>
      </c>
      <c r="C174" s="5" t="s">
        <v>57</v>
      </c>
      <c r="E174" s="5">
        <v>0</v>
      </c>
      <c r="F174" s="5" t="s">
        <v>1573</v>
      </c>
      <c r="G174" s="5" t="s">
        <v>1603</v>
      </c>
      <c r="H174" s="5" t="s">
        <v>1582</v>
      </c>
      <c r="I174" s="5">
        <v>1</v>
      </c>
    </row>
    <row r="175" spans="1:9" x14ac:dyDescent="0.25">
      <c r="A175" s="5" t="s">
        <v>1759</v>
      </c>
      <c r="B175" s="5" t="s">
        <v>644</v>
      </c>
      <c r="C175" s="5" t="s">
        <v>41</v>
      </c>
      <c r="D175" s="6">
        <v>46219</v>
      </c>
      <c r="E175" s="5">
        <v>11404.18</v>
      </c>
      <c r="F175" s="5" t="s">
        <v>1579</v>
      </c>
      <c r="H175" s="5" t="s">
        <v>1586</v>
      </c>
      <c r="I175" s="5">
        <v>1</v>
      </c>
    </row>
    <row r="176" spans="1:9" x14ac:dyDescent="0.25">
      <c r="A176" s="5" t="s">
        <v>1760</v>
      </c>
      <c r="B176" s="5" t="s">
        <v>1268</v>
      </c>
      <c r="C176" s="5" t="s">
        <v>163</v>
      </c>
      <c r="D176" s="6">
        <v>46165</v>
      </c>
      <c r="E176" s="5">
        <v>3850.24</v>
      </c>
      <c r="F176" s="5" t="s">
        <v>1579</v>
      </c>
      <c r="H176" s="5" t="s">
        <v>1586</v>
      </c>
      <c r="I176" s="5">
        <v>1</v>
      </c>
    </row>
    <row r="177" spans="1:9" x14ac:dyDescent="0.25">
      <c r="A177" s="5" t="s">
        <v>1761</v>
      </c>
      <c r="B177" s="5" t="s">
        <v>1316</v>
      </c>
      <c r="C177" s="5" t="s">
        <v>138</v>
      </c>
      <c r="D177" s="6">
        <v>46108</v>
      </c>
      <c r="E177" s="5">
        <v>16589.810000000001</v>
      </c>
      <c r="F177" s="5" t="s">
        <v>1579</v>
      </c>
      <c r="H177" s="5" t="s">
        <v>1575</v>
      </c>
      <c r="I177" s="5">
        <v>1</v>
      </c>
    </row>
    <row r="178" spans="1:9" x14ac:dyDescent="0.25">
      <c r="A178" s="5" t="s">
        <v>1762</v>
      </c>
      <c r="B178" s="5" t="s">
        <v>1448</v>
      </c>
      <c r="C178" s="5" t="s">
        <v>57</v>
      </c>
      <c r="D178" s="6">
        <v>46179</v>
      </c>
      <c r="E178" s="5">
        <v>5554.92</v>
      </c>
      <c r="F178" s="5" t="s">
        <v>1579</v>
      </c>
      <c r="H178" s="5" t="s">
        <v>1575</v>
      </c>
      <c r="I178" s="5">
        <v>1</v>
      </c>
    </row>
    <row r="179" spans="1:9" x14ac:dyDescent="0.25">
      <c r="A179" s="5" t="s">
        <v>1763</v>
      </c>
      <c r="B179" s="5" t="s">
        <v>830</v>
      </c>
      <c r="C179" s="5" t="s">
        <v>89</v>
      </c>
      <c r="D179" s="6">
        <v>46366</v>
      </c>
      <c r="E179" s="5">
        <v>961.54</v>
      </c>
      <c r="F179" s="5" t="s">
        <v>1579</v>
      </c>
      <c r="H179" s="5" t="s">
        <v>1582</v>
      </c>
      <c r="I179" s="5">
        <v>1</v>
      </c>
    </row>
    <row r="180" spans="1:9" x14ac:dyDescent="0.25">
      <c r="A180" s="5" t="s">
        <v>1764</v>
      </c>
      <c r="B180" s="5" t="s">
        <v>989</v>
      </c>
      <c r="C180" s="5" t="s">
        <v>41</v>
      </c>
      <c r="E180" s="5">
        <v>0</v>
      </c>
      <c r="F180" s="5" t="s">
        <v>1573</v>
      </c>
      <c r="G180" s="5" t="s">
        <v>1574</v>
      </c>
      <c r="H180" s="5" t="s">
        <v>1575</v>
      </c>
      <c r="I180" s="5">
        <v>1</v>
      </c>
    </row>
    <row r="181" spans="1:9" x14ac:dyDescent="0.25">
      <c r="A181" s="5" t="s">
        <v>1765</v>
      </c>
      <c r="B181" s="5" t="s">
        <v>566</v>
      </c>
      <c r="C181" s="5" t="s">
        <v>36</v>
      </c>
      <c r="D181" s="6">
        <v>46354</v>
      </c>
      <c r="E181" s="5">
        <v>625.91999999999996</v>
      </c>
      <c r="F181" s="5" t="s">
        <v>1579</v>
      </c>
      <c r="H181" s="5" t="s">
        <v>1575</v>
      </c>
      <c r="I181" s="5">
        <v>1</v>
      </c>
    </row>
    <row r="182" spans="1:9" x14ac:dyDescent="0.25">
      <c r="A182" s="5" t="s">
        <v>1766</v>
      </c>
      <c r="B182" s="5" t="s">
        <v>341</v>
      </c>
      <c r="C182" s="5" t="s">
        <v>45</v>
      </c>
      <c r="D182" s="6">
        <v>46303</v>
      </c>
      <c r="E182" s="5">
        <v>30045.439999999999</v>
      </c>
      <c r="F182" s="5" t="s">
        <v>1579</v>
      </c>
      <c r="H182" s="5" t="s">
        <v>1586</v>
      </c>
      <c r="I182" s="5">
        <v>1</v>
      </c>
    </row>
    <row r="183" spans="1:9" x14ac:dyDescent="0.25">
      <c r="A183" s="5" t="s">
        <v>1767</v>
      </c>
      <c r="B183" s="5" t="s">
        <v>305</v>
      </c>
      <c r="C183" s="5" t="s">
        <v>26</v>
      </c>
      <c r="D183" s="6">
        <v>46295</v>
      </c>
      <c r="E183" s="5">
        <v>17378.599999999999</v>
      </c>
      <c r="F183" s="5" t="s">
        <v>1579</v>
      </c>
      <c r="H183" s="5" t="s">
        <v>1575</v>
      </c>
      <c r="I183" s="5">
        <v>1</v>
      </c>
    </row>
    <row r="184" spans="1:9" x14ac:dyDescent="0.25">
      <c r="A184" s="5" t="s">
        <v>1768</v>
      </c>
      <c r="B184" s="5" t="s">
        <v>1346</v>
      </c>
      <c r="C184" s="5" t="s">
        <v>45</v>
      </c>
      <c r="D184" s="6">
        <v>46301</v>
      </c>
      <c r="E184" s="5">
        <v>10078.23</v>
      </c>
      <c r="F184" s="5" t="s">
        <v>1579</v>
      </c>
      <c r="H184" s="5" t="s">
        <v>1586</v>
      </c>
      <c r="I184" s="5">
        <v>3</v>
      </c>
    </row>
    <row r="185" spans="1:9" x14ac:dyDescent="0.25">
      <c r="A185" s="5" t="s">
        <v>1769</v>
      </c>
      <c r="B185" s="5" t="s">
        <v>1547</v>
      </c>
      <c r="C185" s="5" t="s">
        <v>57</v>
      </c>
      <c r="D185" s="6">
        <v>46158</v>
      </c>
      <c r="E185" s="5">
        <v>821.31</v>
      </c>
      <c r="F185" s="5" t="s">
        <v>1579</v>
      </c>
      <c r="H185" s="5" t="s">
        <v>1586</v>
      </c>
      <c r="I185" s="5">
        <v>2</v>
      </c>
    </row>
    <row r="186" spans="1:9" x14ac:dyDescent="0.25">
      <c r="A186" s="5" t="s">
        <v>1770</v>
      </c>
      <c r="B186" s="5" t="s">
        <v>1543</v>
      </c>
      <c r="C186" s="5" t="s">
        <v>45</v>
      </c>
      <c r="E186" s="5">
        <v>0</v>
      </c>
      <c r="F186" s="5" t="s">
        <v>1573</v>
      </c>
      <c r="G186" s="5" t="s">
        <v>1641</v>
      </c>
      <c r="H186" s="5" t="s">
        <v>1586</v>
      </c>
      <c r="I186" s="5">
        <v>1</v>
      </c>
    </row>
    <row r="187" spans="1:9" x14ac:dyDescent="0.25">
      <c r="A187" s="5" t="s">
        <v>1771</v>
      </c>
      <c r="B187" s="5" t="s">
        <v>998</v>
      </c>
      <c r="C187" s="5" t="s">
        <v>26</v>
      </c>
      <c r="D187" s="6">
        <v>46111</v>
      </c>
      <c r="E187" s="5">
        <v>1263.06</v>
      </c>
      <c r="F187" s="5" t="s">
        <v>1579</v>
      </c>
      <c r="H187" s="5" t="s">
        <v>1582</v>
      </c>
      <c r="I187" s="5">
        <v>1</v>
      </c>
    </row>
    <row r="188" spans="1:9" x14ac:dyDescent="0.25">
      <c r="A188" s="5" t="s">
        <v>1772</v>
      </c>
      <c r="B188" s="5" t="s">
        <v>365</v>
      </c>
      <c r="C188" s="5" t="s">
        <v>75</v>
      </c>
      <c r="D188" s="6">
        <v>46115</v>
      </c>
      <c r="E188" s="5">
        <v>6021.68</v>
      </c>
      <c r="F188" s="5" t="s">
        <v>1579</v>
      </c>
      <c r="H188" s="5" t="s">
        <v>1582</v>
      </c>
      <c r="I188" s="5">
        <v>1</v>
      </c>
    </row>
    <row r="189" spans="1:9" x14ac:dyDescent="0.25">
      <c r="A189" s="5" t="s">
        <v>1773</v>
      </c>
      <c r="B189" s="5" t="s">
        <v>1542</v>
      </c>
      <c r="C189" s="5" t="s">
        <v>20</v>
      </c>
      <c r="D189" s="6">
        <v>46133</v>
      </c>
      <c r="E189" s="5">
        <v>11902.2</v>
      </c>
      <c r="F189" s="5" t="s">
        <v>1579</v>
      </c>
      <c r="H189" s="5" t="s">
        <v>1582</v>
      </c>
      <c r="I189" s="5">
        <v>1</v>
      </c>
    </row>
    <row r="190" spans="1:9" x14ac:dyDescent="0.25">
      <c r="A190" s="5" t="s">
        <v>1774</v>
      </c>
      <c r="B190" s="5" t="s">
        <v>70</v>
      </c>
      <c r="C190" s="5" t="s">
        <v>71</v>
      </c>
      <c r="D190" s="6">
        <v>46125</v>
      </c>
      <c r="E190" s="5">
        <v>27359.01</v>
      </c>
      <c r="F190" s="5" t="s">
        <v>1579</v>
      </c>
      <c r="H190" s="5" t="s">
        <v>1582</v>
      </c>
      <c r="I190" s="5">
        <v>2</v>
      </c>
    </row>
    <row r="191" spans="1:9" x14ac:dyDescent="0.25">
      <c r="A191" s="5" t="s">
        <v>1775</v>
      </c>
      <c r="B191" s="5" t="s">
        <v>1295</v>
      </c>
      <c r="C191" s="5" t="s">
        <v>12</v>
      </c>
      <c r="D191" s="6">
        <v>46125</v>
      </c>
      <c r="E191" s="5">
        <v>12300.68</v>
      </c>
      <c r="F191" s="5" t="s">
        <v>1579</v>
      </c>
      <c r="H191" s="5" t="s">
        <v>1575</v>
      </c>
      <c r="I191" s="5">
        <v>1</v>
      </c>
    </row>
    <row r="192" spans="1:9" x14ac:dyDescent="0.25">
      <c r="A192" s="5" t="s">
        <v>1776</v>
      </c>
      <c r="B192" s="5" t="s">
        <v>1256</v>
      </c>
      <c r="C192" s="5" t="s">
        <v>71</v>
      </c>
      <c r="E192" s="5">
        <v>0</v>
      </c>
      <c r="F192" s="5" t="s">
        <v>1597</v>
      </c>
      <c r="G192" s="5" t="s">
        <v>1603</v>
      </c>
      <c r="H192" s="5" t="s">
        <v>1582</v>
      </c>
      <c r="I192" s="5">
        <v>1</v>
      </c>
    </row>
    <row r="193" spans="1:9" x14ac:dyDescent="0.25">
      <c r="A193" s="5" t="s">
        <v>1777</v>
      </c>
      <c r="B193" s="5" t="s">
        <v>209</v>
      </c>
      <c r="C193" s="5" t="s">
        <v>138</v>
      </c>
      <c r="D193" s="6">
        <v>46360</v>
      </c>
      <c r="E193" s="5">
        <v>790.93</v>
      </c>
      <c r="F193" s="5" t="s">
        <v>1579</v>
      </c>
      <c r="H193" s="5" t="s">
        <v>1582</v>
      </c>
      <c r="I193" s="5">
        <v>1</v>
      </c>
    </row>
    <row r="194" spans="1:9" x14ac:dyDescent="0.25">
      <c r="A194" s="5" t="s">
        <v>1778</v>
      </c>
      <c r="B194" s="5" t="s">
        <v>344</v>
      </c>
      <c r="C194" s="5" t="s">
        <v>26</v>
      </c>
      <c r="D194" s="6">
        <v>46251</v>
      </c>
      <c r="E194" s="5">
        <v>16287.94</v>
      </c>
      <c r="F194" s="5" t="s">
        <v>1579</v>
      </c>
      <c r="H194" s="5" t="s">
        <v>1582</v>
      </c>
      <c r="I194" s="5">
        <v>1</v>
      </c>
    </row>
    <row r="195" spans="1:9" x14ac:dyDescent="0.25">
      <c r="A195" s="5" t="s">
        <v>1779</v>
      </c>
      <c r="B195" s="5" t="s">
        <v>254</v>
      </c>
      <c r="C195" s="5" t="s">
        <v>75</v>
      </c>
      <c r="D195" s="6">
        <v>46366</v>
      </c>
      <c r="E195" s="5">
        <v>13329.34</v>
      </c>
      <c r="F195" s="5" t="s">
        <v>1579</v>
      </c>
      <c r="H195" s="5" t="s">
        <v>1582</v>
      </c>
      <c r="I195" s="5">
        <v>1</v>
      </c>
    </row>
    <row r="196" spans="1:9" x14ac:dyDescent="0.25">
      <c r="A196" s="5" t="s">
        <v>1780</v>
      </c>
      <c r="B196" s="5" t="s">
        <v>1370</v>
      </c>
      <c r="C196" s="5" t="s">
        <v>32</v>
      </c>
      <c r="D196" s="6">
        <v>46243</v>
      </c>
      <c r="E196" s="5">
        <v>10153.530000000001</v>
      </c>
      <c r="F196" s="5" t="s">
        <v>1579</v>
      </c>
      <c r="H196" s="5" t="s">
        <v>1575</v>
      </c>
      <c r="I196" s="5">
        <v>1</v>
      </c>
    </row>
    <row r="197" spans="1:9" x14ac:dyDescent="0.25">
      <c r="A197" s="5" t="s">
        <v>1781</v>
      </c>
      <c r="B197" s="5" t="s">
        <v>1454</v>
      </c>
      <c r="C197" s="5" t="s">
        <v>26</v>
      </c>
      <c r="D197" s="6">
        <v>46285</v>
      </c>
      <c r="E197" s="5">
        <v>22908.400000000001</v>
      </c>
      <c r="F197" s="5" t="s">
        <v>1579</v>
      </c>
      <c r="H197" s="5" t="s">
        <v>1586</v>
      </c>
      <c r="I197" s="5">
        <v>1</v>
      </c>
    </row>
    <row r="198" spans="1:9" x14ac:dyDescent="0.25">
      <c r="A198" s="5" t="s">
        <v>1782</v>
      </c>
      <c r="B198" s="5" t="s">
        <v>878</v>
      </c>
      <c r="C198" s="5" t="s">
        <v>102</v>
      </c>
      <c r="D198" s="6">
        <v>46179</v>
      </c>
      <c r="E198" s="5">
        <v>10842.77</v>
      </c>
      <c r="F198" s="5" t="s">
        <v>1579</v>
      </c>
      <c r="H198" s="5" t="s">
        <v>1586</v>
      </c>
      <c r="I198" s="5">
        <v>1</v>
      </c>
    </row>
    <row r="199" spans="1:9" x14ac:dyDescent="0.25">
      <c r="A199" s="5" t="s">
        <v>1783</v>
      </c>
      <c r="B199" s="5" t="s">
        <v>416</v>
      </c>
      <c r="C199" s="5" t="s">
        <v>71</v>
      </c>
      <c r="D199" s="6">
        <v>46143</v>
      </c>
      <c r="E199" s="5">
        <v>489.72</v>
      </c>
      <c r="F199" s="5" t="s">
        <v>1579</v>
      </c>
      <c r="H199" s="5" t="s">
        <v>1582</v>
      </c>
      <c r="I199" s="5">
        <v>1</v>
      </c>
    </row>
    <row r="200" spans="1:9" x14ac:dyDescent="0.25">
      <c r="A200" s="5" t="s">
        <v>1784</v>
      </c>
      <c r="B200" s="5" t="s">
        <v>1328</v>
      </c>
      <c r="C200" s="5" t="s">
        <v>53</v>
      </c>
      <c r="D200" s="6">
        <v>46211</v>
      </c>
      <c r="E200" s="5">
        <v>16740.43</v>
      </c>
      <c r="F200" s="5" t="s">
        <v>1579</v>
      </c>
      <c r="H200" s="5" t="s">
        <v>1586</v>
      </c>
      <c r="I200" s="5">
        <v>1</v>
      </c>
    </row>
    <row r="201" spans="1:9" x14ac:dyDescent="0.25">
      <c r="A201" s="5" t="s">
        <v>1785</v>
      </c>
      <c r="B201" s="5" t="s">
        <v>809</v>
      </c>
      <c r="C201" s="5" t="s">
        <v>32</v>
      </c>
      <c r="D201" s="6">
        <v>46196</v>
      </c>
      <c r="E201" s="5">
        <v>12047.33</v>
      </c>
      <c r="F201" s="5" t="s">
        <v>1579</v>
      </c>
      <c r="H201" s="5" t="s">
        <v>1586</v>
      </c>
      <c r="I201" s="5">
        <v>1</v>
      </c>
    </row>
    <row r="202" spans="1:9" x14ac:dyDescent="0.25">
      <c r="A202" s="5" t="s">
        <v>1786</v>
      </c>
      <c r="B202" s="5" t="s">
        <v>794</v>
      </c>
      <c r="C202" s="5" t="s">
        <v>85</v>
      </c>
      <c r="E202" s="5">
        <v>0</v>
      </c>
      <c r="F202" s="5" t="s">
        <v>1597</v>
      </c>
      <c r="G202" s="5" t="s">
        <v>1574</v>
      </c>
      <c r="H202" s="5" t="s">
        <v>1575</v>
      </c>
      <c r="I202" s="5">
        <v>2</v>
      </c>
    </row>
    <row r="203" spans="1:9" x14ac:dyDescent="0.25">
      <c r="A203" s="5" t="s">
        <v>1787</v>
      </c>
      <c r="B203" s="5" t="s">
        <v>1367</v>
      </c>
      <c r="C203" s="5" t="s">
        <v>75</v>
      </c>
      <c r="D203" s="6">
        <v>46336</v>
      </c>
      <c r="E203" s="5">
        <v>42207.68</v>
      </c>
      <c r="F203" s="5" t="s">
        <v>1579</v>
      </c>
      <c r="H203" s="5" t="s">
        <v>1575</v>
      </c>
      <c r="I203" s="5">
        <v>3</v>
      </c>
    </row>
    <row r="204" spans="1:9" x14ac:dyDescent="0.25">
      <c r="A204" s="5" t="s">
        <v>1788</v>
      </c>
      <c r="B204" s="5" t="s">
        <v>1475</v>
      </c>
      <c r="C204" s="5" t="s">
        <v>57</v>
      </c>
      <c r="D204" s="6">
        <v>46350</v>
      </c>
      <c r="E204" s="5">
        <v>2539.8000000000002</v>
      </c>
      <c r="F204" s="5" t="s">
        <v>1579</v>
      </c>
      <c r="H204" s="5" t="s">
        <v>1582</v>
      </c>
      <c r="I204" s="5">
        <v>2</v>
      </c>
    </row>
    <row r="205" spans="1:9" x14ac:dyDescent="0.25">
      <c r="A205" s="5" t="s">
        <v>1789</v>
      </c>
      <c r="B205" s="5" t="s">
        <v>326</v>
      </c>
      <c r="C205" s="5" t="s">
        <v>49</v>
      </c>
      <c r="E205" s="5">
        <v>0</v>
      </c>
      <c r="F205" s="5" t="s">
        <v>1597</v>
      </c>
      <c r="G205" s="5" t="s">
        <v>1600</v>
      </c>
      <c r="H205" s="5" t="s">
        <v>1582</v>
      </c>
      <c r="I205" s="5">
        <v>2</v>
      </c>
    </row>
    <row r="206" spans="1:9" x14ac:dyDescent="0.25">
      <c r="A206" s="5" t="s">
        <v>1790</v>
      </c>
      <c r="B206" s="5" t="s">
        <v>410</v>
      </c>
      <c r="C206" s="5" t="s">
        <v>170</v>
      </c>
      <c r="E206" s="5">
        <v>0</v>
      </c>
      <c r="F206" s="5" t="s">
        <v>1573</v>
      </c>
      <c r="G206" s="5" t="s">
        <v>1600</v>
      </c>
      <c r="H206" s="5" t="s">
        <v>1575</v>
      </c>
      <c r="I206" s="5">
        <v>1</v>
      </c>
    </row>
    <row r="207" spans="1:9" x14ac:dyDescent="0.25">
      <c r="A207" s="5" t="s">
        <v>1791</v>
      </c>
      <c r="B207" s="5" t="s">
        <v>60</v>
      </c>
      <c r="C207" s="5" t="s">
        <v>32</v>
      </c>
      <c r="E207" s="5">
        <v>0</v>
      </c>
      <c r="F207" s="5" t="s">
        <v>1573</v>
      </c>
      <c r="G207" s="5" t="s">
        <v>1603</v>
      </c>
      <c r="H207" s="5" t="s">
        <v>1582</v>
      </c>
      <c r="I207" s="5">
        <v>2</v>
      </c>
    </row>
    <row r="208" spans="1:9" x14ac:dyDescent="0.25">
      <c r="A208" s="5" t="s">
        <v>1792</v>
      </c>
      <c r="B208" s="5" t="s">
        <v>455</v>
      </c>
      <c r="C208" s="5" t="s">
        <v>26</v>
      </c>
      <c r="D208" s="6">
        <v>46257</v>
      </c>
      <c r="E208" s="5">
        <v>271.91000000000003</v>
      </c>
      <c r="F208" s="5" t="s">
        <v>1579</v>
      </c>
      <c r="H208" s="5" t="s">
        <v>1575</v>
      </c>
      <c r="I208" s="5">
        <v>1</v>
      </c>
    </row>
    <row r="209" spans="1:9" x14ac:dyDescent="0.25">
      <c r="A209" s="5" t="s">
        <v>1793</v>
      </c>
      <c r="B209" s="5" t="s">
        <v>1472</v>
      </c>
      <c r="C209" s="5" t="s">
        <v>45</v>
      </c>
      <c r="D209" s="6">
        <v>46370</v>
      </c>
      <c r="E209" s="5">
        <v>266.77</v>
      </c>
      <c r="F209" s="5" t="s">
        <v>1579</v>
      </c>
      <c r="H209" s="5" t="s">
        <v>1586</v>
      </c>
      <c r="I209" s="5">
        <v>1</v>
      </c>
    </row>
    <row r="210" spans="1:9" x14ac:dyDescent="0.25">
      <c r="A210" s="5" t="s">
        <v>1794</v>
      </c>
      <c r="B210" s="5" t="s">
        <v>19</v>
      </c>
      <c r="C210" s="5" t="s">
        <v>20</v>
      </c>
      <c r="D210" s="6">
        <v>46093</v>
      </c>
      <c r="E210" s="5">
        <v>20149.54</v>
      </c>
      <c r="F210" s="5" t="s">
        <v>1579</v>
      </c>
      <c r="H210" s="5" t="s">
        <v>1582</v>
      </c>
      <c r="I210" s="5">
        <v>2</v>
      </c>
    </row>
    <row r="211" spans="1:9" x14ac:dyDescent="0.25">
      <c r="A211" s="5" t="s">
        <v>1795</v>
      </c>
      <c r="B211" s="5" t="s">
        <v>1235</v>
      </c>
      <c r="C211" s="5" t="s">
        <v>112</v>
      </c>
      <c r="D211" s="6">
        <v>46208</v>
      </c>
      <c r="E211" s="5">
        <v>6823.17</v>
      </c>
      <c r="F211" s="5" t="s">
        <v>1579</v>
      </c>
      <c r="H211" s="5" t="s">
        <v>1586</v>
      </c>
      <c r="I211" s="5">
        <v>1</v>
      </c>
    </row>
    <row r="212" spans="1:9" x14ac:dyDescent="0.25">
      <c r="A212" s="5" t="s">
        <v>1796</v>
      </c>
      <c r="B212" s="5" t="s">
        <v>419</v>
      </c>
      <c r="C212" s="5" t="s">
        <v>122</v>
      </c>
      <c r="D212" s="6">
        <v>46305</v>
      </c>
      <c r="E212" s="5">
        <v>13209.01</v>
      </c>
      <c r="F212" s="5" t="s">
        <v>1579</v>
      </c>
      <c r="H212" s="5" t="s">
        <v>1575</v>
      </c>
      <c r="I212" s="5">
        <v>1</v>
      </c>
    </row>
    <row r="213" spans="1:9" x14ac:dyDescent="0.25">
      <c r="A213" s="5" t="s">
        <v>1797</v>
      </c>
      <c r="B213" s="5" t="s">
        <v>548</v>
      </c>
      <c r="C213" s="5" t="s">
        <v>57</v>
      </c>
      <c r="E213" s="5">
        <v>0</v>
      </c>
      <c r="F213" s="5" t="s">
        <v>1573</v>
      </c>
      <c r="G213" s="5" t="s">
        <v>1603</v>
      </c>
      <c r="H213" s="5" t="s">
        <v>1586</v>
      </c>
      <c r="I213" s="5">
        <v>1</v>
      </c>
    </row>
    <row r="214" spans="1:9" x14ac:dyDescent="0.25">
      <c r="A214" s="5" t="s">
        <v>1798</v>
      </c>
      <c r="B214" s="5" t="s">
        <v>860</v>
      </c>
      <c r="C214" s="5" t="s">
        <v>163</v>
      </c>
      <c r="D214" s="6">
        <v>46165</v>
      </c>
      <c r="E214" s="5">
        <v>14151.28</v>
      </c>
      <c r="F214" s="5" t="s">
        <v>1579</v>
      </c>
      <c r="H214" s="5" t="s">
        <v>1575</v>
      </c>
      <c r="I214" s="5">
        <v>1</v>
      </c>
    </row>
    <row r="215" spans="1:9" x14ac:dyDescent="0.25">
      <c r="A215" s="5" t="s">
        <v>1799</v>
      </c>
      <c r="B215" s="5" t="s">
        <v>95</v>
      </c>
      <c r="C215" s="5" t="s">
        <v>32</v>
      </c>
      <c r="D215" s="6">
        <v>46334</v>
      </c>
      <c r="E215" s="5">
        <v>3971.35</v>
      </c>
      <c r="F215" s="5" t="s">
        <v>1579</v>
      </c>
      <c r="H215" s="5" t="s">
        <v>1582</v>
      </c>
      <c r="I215" s="5">
        <v>1</v>
      </c>
    </row>
    <row r="216" spans="1:9" x14ac:dyDescent="0.25">
      <c r="A216" s="5" t="s">
        <v>1800</v>
      </c>
      <c r="B216" s="5" t="s">
        <v>128</v>
      </c>
      <c r="C216" s="5" t="s">
        <v>26</v>
      </c>
      <c r="D216" s="6">
        <v>46157</v>
      </c>
      <c r="E216" s="5">
        <v>15971.38</v>
      </c>
      <c r="F216" s="5" t="s">
        <v>1579</v>
      </c>
      <c r="H216" s="5" t="s">
        <v>1575</v>
      </c>
      <c r="I216" s="5">
        <v>1</v>
      </c>
    </row>
    <row r="217" spans="1:9" x14ac:dyDescent="0.25">
      <c r="A217" s="5" t="s">
        <v>1801</v>
      </c>
      <c r="B217" s="5" t="s">
        <v>118</v>
      </c>
      <c r="C217" s="5" t="s">
        <v>71</v>
      </c>
      <c r="D217" s="6">
        <v>46380</v>
      </c>
      <c r="E217" s="5">
        <v>7568.54</v>
      </c>
      <c r="F217" s="5" t="s">
        <v>1579</v>
      </c>
      <c r="H217" s="5" t="s">
        <v>1575</v>
      </c>
      <c r="I217" s="5">
        <v>1</v>
      </c>
    </row>
    <row r="218" spans="1:9" x14ac:dyDescent="0.25">
      <c r="A218" s="5" t="s">
        <v>1802</v>
      </c>
      <c r="B218" s="5" t="s">
        <v>1133</v>
      </c>
      <c r="C218" s="5" t="s">
        <v>71</v>
      </c>
      <c r="E218" s="5">
        <v>0</v>
      </c>
      <c r="F218" s="5" t="s">
        <v>1573</v>
      </c>
      <c r="G218" s="5" t="s">
        <v>1641</v>
      </c>
      <c r="H218" s="5" t="s">
        <v>1575</v>
      </c>
      <c r="I218" s="5">
        <v>1</v>
      </c>
    </row>
    <row r="219" spans="1:9" x14ac:dyDescent="0.25">
      <c r="A219" s="5" t="s">
        <v>1803</v>
      </c>
      <c r="B219" s="5" t="s">
        <v>156</v>
      </c>
      <c r="C219" s="5" t="s">
        <v>45</v>
      </c>
      <c r="D219" s="6">
        <v>46235</v>
      </c>
      <c r="E219" s="5">
        <v>22499.68</v>
      </c>
      <c r="F219" s="5" t="s">
        <v>1579</v>
      </c>
      <c r="H219" s="5" t="s">
        <v>1586</v>
      </c>
      <c r="I219" s="5">
        <v>1</v>
      </c>
    </row>
    <row r="220" spans="1:9" x14ac:dyDescent="0.25">
      <c r="A220" s="5" t="s">
        <v>1804</v>
      </c>
      <c r="B220" s="5" t="s">
        <v>1364</v>
      </c>
      <c r="C220" s="5" t="s">
        <v>41</v>
      </c>
      <c r="D220" s="6">
        <v>46139</v>
      </c>
      <c r="E220" s="5">
        <v>20995.14</v>
      </c>
      <c r="F220" s="5" t="s">
        <v>1579</v>
      </c>
      <c r="H220" s="5" t="s">
        <v>1582</v>
      </c>
      <c r="I220" s="5">
        <v>1</v>
      </c>
    </row>
    <row r="221" spans="1:9" x14ac:dyDescent="0.25">
      <c r="A221" s="5" t="s">
        <v>1805</v>
      </c>
      <c r="B221" s="5" t="s">
        <v>515</v>
      </c>
      <c r="C221" s="5" t="s">
        <v>122</v>
      </c>
      <c r="D221" s="6">
        <v>46229</v>
      </c>
      <c r="E221" s="5">
        <v>2147.77</v>
      </c>
      <c r="F221" s="5" t="s">
        <v>1579</v>
      </c>
      <c r="H221" s="5" t="s">
        <v>1582</v>
      </c>
      <c r="I221" s="5">
        <v>1</v>
      </c>
    </row>
    <row r="222" spans="1:9" x14ac:dyDescent="0.25">
      <c r="A222" s="5" t="s">
        <v>1806</v>
      </c>
      <c r="B222" s="5" t="s">
        <v>1538</v>
      </c>
      <c r="C222" s="5" t="s">
        <v>122</v>
      </c>
      <c r="D222" s="6">
        <v>46322</v>
      </c>
      <c r="E222" s="5">
        <v>47521.7</v>
      </c>
      <c r="F222" s="5" t="s">
        <v>1579</v>
      </c>
      <c r="H222" s="5" t="s">
        <v>1575</v>
      </c>
      <c r="I222" s="5">
        <v>1</v>
      </c>
    </row>
    <row r="223" spans="1:9" x14ac:dyDescent="0.25">
      <c r="A223" s="5" t="s">
        <v>1807</v>
      </c>
      <c r="B223" s="5" t="s">
        <v>230</v>
      </c>
      <c r="C223" s="5" t="s">
        <v>163</v>
      </c>
      <c r="D223" s="6">
        <v>46090</v>
      </c>
      <c r="E223" s="5">
        <v>19930.13</v>
      </c>
      <c r="F223" s="5" t="s">
        <v>1579</v>
      </c>
      <c r="H223" s="5" t="s">
        <v>1582</v>
      </c>
      <c r="I223" s="5">
        <v>1</v>
      </c>
    </row>
    <row r="224" spans="1:9" x14ac:dyDescent="0.25">
      <c r="A224" s="5" t="s">
        <v>1808</v>
      </c>
      <c r="B224" s="5" t="s">
        <v>680</v>
      </c>
      <c r="C224" s="5" t="s">
        <v>36</v>
      </c>
      <c r="E224" s="5">
        <v>0</v>
      </c>
      <c r="F224" s="5" t="s">
        <v>1573</v>
      </c>
      <c r="G224" s="5" t="s">
        <v>1598</v>
      </c>
      <c r="H224" s="5" t="s">
        <v>1582</v>
      </c>
      <c r="I224" s="5">
        <v>1</v>
      </c>
    </row>
    <row r="225" spans="1:9" x14ac:dyDescent="0.25">
      <c r="A225" s="5" t="s">
        <v>1809</v>
      </c>
      <c r="B225" s="5" t="s">
        <v>734</v>
      </c>
      <c r="C225" s="5" t="s">
        <v>71</v>
      </c>
      <c r="E225" s="5">
        <v>0</v>
      </c>
      <c r="F225" s="5" t="s">
        <v>1573</v>
      </c>
      <c r="G225" s="5" t="s">
        <v>1574</v>
      </c>
      <c r="H225" s="5" t="s">
        <v>1582</v>
      </c>
      <c r="I225" s="5">
        <v>1</v>
      </c>
    </row>
    <row r="226" spans="1:9" x14ac:dyDescent="0.25">
      <c r="A226" s="5" t="s">
        <v>1810</v>
      </c>
      <c r="B226" s="5" t="s">
        <v>215</v>
      </c>
      <c r="C226" s="5" t="s">
        <v>49</v>
      </c>
      <c r="D226" s="6">
        <v>46281</v>
      </c>
      <c r="E226" s="5">
        <v>6396.52</v>
      </c>
      <c r="F226" s="5" t="s">
        <v>1579</v>
      </c>
      <c r="H226" s="5" t="s">
        <v>1575</v>
      </c>
      <c r="I226" s="5">
        <v>2</v>
      </c>
    </row>
    <row r="227" spans="1:9" x14ac:dyDescent="0.25">
      <c r="A227" s="5" t="s">
        <v>1811</v>
      </c>
      <c r="B227" s="5" t="s">
        <v>197</v>
      </c>
      <c r="C227" s="5" t="s">
        <v>53</v>
      </c>
      <c r="D227" s="6">
        <v>46081</v>
      </c>
      <c r="E227" s="5">
        <v>10441.91</v>
      </c>
      <c r="F227" s="5" t="s">
        <v>1579</v>
      </c>
      <c r="H227" s="5" t="s">
        <v>1575</v>
      </c>
      <c r="I227" s="5">
        <v>1</v>
      </c>
    </row>
    <row r="228" spans="1:9" x14ac:dyDescent="0.25">
      <c r="A228" s="5" t="s">
        <v>1812</v>
      </c>
      <c r="B228" s="5" t="s">
        <v>1549</v>
      </c>
      <c r="C228" s="5" t="s">
        <v>49</v>
      </c>
      <c r="E228" s="5">
        <v>0</v>
      </c>
      <c r="F228" s="5" t="s">
        <v>1573</v>
      </c>
      <c r="G228" s="5" t="s">
        <v>1600</v>
      </c>
      <c r="H228" s="5" t="s">
        <v>1582</v>
      </c>
      <c r="I228" s="5">
        <v>1</v>
      </c>
    </row>
    <row r="229" spans="1:9" x14ac:dyDescent="0.25">
      <c r="A229" s="5" t="s">
        <v>1813</v>
      </c>
      <c r="B229" s="5" t="s">
        <v>710</v>
      </c>
      <c r="C229" s="5" t="s">
        <v>112</v>
      </c>
      <c r="D229" s="6">
        <v>46191</v>
      </c>
      <c r="E229" s="5">
        <v>19275.189999999999</v>
      </c>
      <c r="F229" s="5" t="s">
        <v>1579</v>
      </c>
      <c r="H229" s="5" t="s">
        <v>1586</v>
      </c>
      <c r="I229" s="5">
        <v>1</v>
      </c>
    </row>
    <row r="230" spans="1:9" x14ac:dyDescent="0.25">
      <c r="A230" s="5" t="s">
        <v>1814</v>
      </c>
      <c r="B230" s="5" t="s">
        <v>224</v>
      </c>
      <c r="C230" s="5" t="s">
        <v>138</v>
      </c>
      <c r="D230" s="6">
        <v>46100</v>
      </c>
      <c r="E230" s="5">
        <v>19471.46</v>
      </c>
      <c r="F230" s="5" t="s">
        <v>1579</v>
      </c>
      <c r="H230" s="5" t="s">
        <v>1575</v>
      </c>
      <c r="I230" s="5">
        <v>1</v>
      </c>
    </row>
    <row r="231" spans="1:9" x14ac:dyDescent="0.25">
      <c r="A231" s="5" t="s">
        <v>1815</v>
      </c>
      <c r="B231" s="5" t="s">
        <v>1427</v>
      </c>
      <c r="C231" s="5" t="s">
        <v>85</v>
      </c>
      <c r="D231" s="6">
        <v>46245</v>
      </c>
      <c r="E231" s="5">
        <v>51028.45</v>
      </c>
      <c r="F231" s="5" t="s">
        <v>1579</v>
      </c>
      <c r="H231" s="5" t="s">
        <v>1582</v>
      </c>
      <c r="I231" s="5">
        <v>2</v>
      </c>
    </row>
    <row r="232" spans="1:9" x14ac:dyDescent="0.25">
      <c r="A232" s="5" t="s">
        <v>1816</v>
      </c>
      <c r="B232" s="5" t="s">
        <v>1175</v>
      </c>
      <c r="C232" s="5" t="s">
        <v>41</v>
      </c>
      <c r="D232" s="6">
        <v>46141</v>
      </c>
      <c r="E232" s="5">
        <v>20740.72</v>
      </c>
      <c r="F232" s="5" t="s">
        <v>1579</v>
      </c>
      <c r="H232" s="5" t="s">
        <v>1586</v>
      </c>
      <c r="I232" s="5">
        <v>2</v>
      </c>
    </row>
    <row r="233" spans="1:9" x14ac:dyDescent="0.25">
      <c r="A233" s="5" t="s">
        <v>1817</v>
      </c>
      <c r="B233" s="5" t="s">
        <v>1160</v>
      </c>
      <c r="C233" s="5" t="s">
        <v>20</v>
      </c>
      <c r="E233" s="5">
        <v>0</v>
      </c>
      <c r="F233" s="5" t="s">
        <v>1597</v>
      </c>
      <c r="G233" s="5" t="s">
        <v>1598</v>
      </c>
      <c r="H233" s="5" t="s">
        <v>1586</v>
      </c>
      <c r="I233" s="5">
        <v>3</v>
      </c>
    </row>
    <row r="234" spans="1:9" x14ac:dyDescent="0.25">
      <c r="A234" s="5" t="s">
        <v>1818</v>
      </c>
      <c r="B234" s="5" t="s">
        <v>605</v>
      </c>
      <c r="C234" s="5" t="s">
        <v>71</v>
      </c>
      <c r="D234" s="6">
        <v>46186</v>
      </c>
      <c r="E234" s="5">
        <v>12536.21</v>
      </c>
      <c r="F234" s="5" t="s">
        <v>1579</v>
      </c>
      <c r="H234" s="5" t="s">
        <v>1582</v>
      </c>
      <c r="I234" s="5">
        <v>2</v>
      </c>
    </row>
    <row r="235" spans="1:9" x14ac:dyDescent="0.25">
      <c r="A235" s="5" t="s">
        <v>1819</v>
      </c>
      <c r="B235" s="5" t="s">
        <v>1223</v>
      </c>
      <c r="C235" s="5" t="s">
        <v>45</v>
      </c>
      <c r="D235" s="6">
        <v>46100</v>
      </c>
      <c r="E235" s="5">
        <v>19669.349999999999</v>
      </c>
      <c r="F235" s="5" t="s">
        <v>1579</v>
      </c>
      <c r="H235" s="5" t="s">
        <v>1586</v>
      </c>
      <c r="I235" s="5">
        <v>1</v>
      </c>
    </row>
    <row r="236" spans="1:9" x14ac:dyDescent="0.25">
      <c r="A236" s="5" t="s">
        <v>1820</v>
      </c>
      <c r="B236" s="5" t="s">
        <v>185</v>
      </c>
      <c r="C236" s="5" t="s">
        <v>112</v>
      </c>
      <c r="E236" s="5">
        <v>0</v>
      </c>
      <c r="F236" s="5" t="s">
        <v>1597</v>
      </c>
      <c r="G236" s="5" t="s">
        <v>1600</v>
      </c>
      <c r="H236" s="5" t="s">
        <v>1575</v>
      </c>
      <c r="I236" s="5">
        <v>1</v>
      </c>
    </row>
    <row r="237" spans="1:9" x14ac:dyDescent="0.25">
      <c r="A237" s="5" t="s">
        <v>1821</v>
      </c>
      <c r="B237" s="5" t="s">
        <v>1493</v>
      </c>
      <c r="C237" s="5" t="s">
        <v>112</v>
      </c>
      <c r="E237" s="5">
        <v>0</v>
      </c>
      <c r="F237" s="5" t="s">
        <v>1597</v>
      </c>
      <c r="G237" s="5" t="s">
        <v>1600</v>
      </c>
      <c r="H237" s="5" t="s">
        <v>1586</v>
      </c>
      <c r="I237" s="5">
        <v>1</v>
      </c>
    </row>
    <row r="238" spans="1:9" x14ac:dyDescent="0.25">
      <c r="A238" s="5" t="s">
        <v>1822</v>
      </c>
      <c r="B238" s="5" t="s">
        <v>890</v>
      </c>
      <c r="C238" s="5" t="s">
        <v>75</v>
      </c>
      <c r="D238" s="6">
        <v>46196</v>
      </c>
      <c r="E238" s="5">
        <v>11511.6</v>
      </c>
      <c r="F238" s="5" t="s">
        <v>1579</v>
      </c>
      <c r="H238" s="5" t="s">
        <v>1586</v>
      </c>
      <c r="I238" s="5">
        <v>1</v>
      </c>
    </row>
    <row r="239" spans="1:9" x14ac:dyDescent="0.25">
      <c r="A239" s="5" t="s">
        <v>1823</v>
      </c>
      <c r="B239" s="5" t="s">
        <v>797</v>
      </c>
      <c r="C239" s="5" t="s">
        <v>85</v>
      </c>
      <c r="D239" s="6">
        <v>46255</v>
      </c>
      <c r="E239" s="5">
        <v>3832.53</v>
      </c>
      <c r="F239" s="5" t="s">
        <v>1579</v>
      </c>
      <c r="H239" s="5" t="s">
        <v>1575</v>
      </c>
      <c r="I239" s="5">
        <v>2</v>
      </c>
    </row>
    <row r="240" spans="1:9" x14ac:dyDescent="0.25">
      <c r="A240" s="5" t="s">
        <v>1824</v>
      </c>
      <c r="B240" s="5" t="s">
        <v>1058</v>
      </c>
      <c r="C240" s="5" t="s">
        <v>102</v>
      </c>
      <c r="D240" s="6">
        <v>46339</v>
      </c>
      <c r="E240" s="5">
        <v>11445.32</v>
      </c>
      <c r="F240" s="5" t="s">
        <v>1579</v>
      </c>
      <c r="H240" s="5" t="s">
        <v>1582</v>
      </c>
      <c r="I240" s="5">
        <v>1</v>
      </c>
    </row>
    <row r="241" spans="1:9" x14ac:dyDescent="0.25">
      <c r="A241" s="5" t="s">
        <v>1825</v>
      </c>
      <c r="B241" s="5" t="s">
        <v>1373</v>
      </c>
      <c r="C241" s="5" t="s">
        <v>112</v>
      </c>
      <c r="E241" s="5">
        <v>0</v>
      </c>
      <c r="F241" s="5" t="s">
        <v>1573</v>
      </c>
      <c r="G241" s="5" t="s">
        <v>1600</v>
      </c>
      <c r="H241" s="5" t="s">
        <v>1586</v>
      </c>
      <c r="I241" s="5">
        <v>2</v>
      </c>
    </row>
    <row r="242" spans="1:9" x14ac:dyDescent="0.25">
      <c r="A242" s="5" t="s">
        <v>1826</v>
      </c>
      <c r="B242" s="5" t="s">
        <v>1031</v>
      </c>
      <c r="C242" s="5" t="s">
        <v>138</v>
      </c>
      <c r="D242" s="6">
        <v>46119</v>
      </c>
      <c r="E242" s="5">
        <v>13263.77</v>
      </c>
      <c r="F242" s="5" t="s">
        <v>1579</v>
      </c>
      <c r="H242" s="5" t="s">
        <v>1575</v>
      </c>
      <c r="I242" s="5">
        <v>2</v>
      </c>
    </row>
    <row r="243" spans="1:9" x14ac:dyDescent="0.25">
      <c r="A243" s="5" t="s">
        <v>1827</v>
      </c>
      <c r="B243" s="5" t="s">
        <v>1184</v>
      </c>
      <c r="C243" s="5" t="s">
        <v>71</v>
      </c>
      <c r="E243" s="5">
        <v>0</v>
      </c>
      <c r="F243" s="5" t="s">
        <v>1597</v>
      </c>
      <c r="G243" s="5" t="s">
        <v>1598</v>
      </c>
      <c r="H243" s="5" t="s">
        <v>1582</v>
      </c>
      <c r="I243" s="5">
        <v>1</v>
      </c>
    </row>
    <row r="244" spans="1:9" x14ac:dyDescent="0.25">
      <c r="A244" s="5" t="s">
        <v>1828</v>
      </c>
      <c r="B244" s="5" t="s">
        <v>1548</v>
      </c>
      <c r="C244" s="5" t="s">
        <v>170</v>
      </c>
      <c r="D244" s="6">
        <v>46150</v>
      </c>
      <c r="E244" s="5">
        <v>14130.15</v>
      </c>
      <c r="F244" s="5" t="s">
        <v>1579</v>
      </c>
      <c r="H244" s="5" t="s">
        <v>1582</v>
      </c>
      <c r="I244" s="5">
        <v>2</v>
      </c>
    </row>
    <row r="245" spans="1:9" x14ac:dyDescent="0.25">
      <c r="A245" s="5" t="s">
        <v>1829</v>
      </c>
      <c r="B245" s="5" t="s">
        <v>1523</v>
      </c>
      <c r="C245" s="5" t="s">
        <v>75</v>
      </c>
      <c r="D245" s="6">
        <v>46235</v>
      </c>
      <c r="E245" s="5">
        <v>1125.6500000000001</v>
      </c>
      <c r="F245" s="5" t="s">
        <v>1579</v>
      </c>
      <c r="H245" s="5" t="s">
        <v>1575</v>
      </c>
      <c r="I245" s="5">
        <v>1</v>
      </c>
    </row>
    <row r="246" spans="1:9" x14ac:dyDescent="0.25">
      <c r="A246" s="5" t="s">
        <v>1830</v>
      </c>
      <c r="B246" s="5" t="s">
        <v>992</v>
      </c>
      <c r="C246" s="5" t="s">
        <v>102</v>
      </c>
      <c r="D246" s="6">
        <v>46332</v>
      </c>
      <c r="E246" s="5">
        <v>15914.83</v>
      </c>
      <c r="F246" s="5" t="s">
        <v>1579</v>
      </c>
      <c r="H246" s="5" t="s">
        <v>1586</v>
      </c>
      <c r="I246" s="5">
        <v>1</v>
      </c>
    </row>
    <row r="247" spans="1:9" x14ac:dyDescent="0.25">
      <c r="A247" s="5" t="s">
        <v>1831</v>
      </c>
      <c r="B247" s="5" t="s">
        <v>404</v>
      </c>
      <c r="C247" s="5" t="s">
        <v>57</v>
      </c>
      <c r="E247" s="5">
        <v>0</v>
      </c>
      <c r="F247" s="5" t="s">
        <v>1597</v>
      </c>
      <c r="G247" s="5" t="s">
        <v>1600</v>
      </c>
      <c r="H247" s="5" t="s">
        <v>1582</v>
      </c>
      <c r="I247" s="5">
        <v>1</v>
      </c>
    </row>
    <row r="248" spans="1:9" x14ac:dyDescent="0.25">
      <c r="A248" s="5" t="s">
        <v>1832</v>
      </c>
      <c r="B248" s="5" t="s">
        <v>1100</v>
      </c>
      <c r="C248" s="5" t="s">
        <v>163</v>
      </c>
      <c r="D248" s="6">
        <v>46293</v>
      </c>
      <c r="E248" s="5">
        <v>6713.4</v>
      </c>
      <c r="F248" s="5" t="s">
        <v>1579</v>
      </c>
      <c r="H248" s="5" t="s">
        <v>1575</v>
      </c>
      <c r="I248" s="5">
        <v>1</v>
      </c>
    </row>
    <row r="249" spans="1:9" x14ac:dyDescent="0.25">
      <c r="A249" s="5" t="s">
        <v>1833</v>
      </c>
      <c r="B249" s="5" t="s">
        <v>755</v>
      </c>
      <c r="C249" s="5" t="s">
        <v>170</v>
      </c>
      <c r="D249" s="6">
        <v>46092</v>
      </c>
      <c r="E249" s="5">
        <v>1524.02</v>
      </c>
      <c r="F249" s="5" t="s">
        <v>1579</v>
      </c>
      <c r="H249" s="5" t="s">
        <v>1575</v>
      </c>
      <c r="I249" s="5">
        <v>1</v>
      </c>
    </row>
    <row r="250" spans="1:9" x14ac:dyDescent="0.25">
      <c r="A250" s="5" t="s">
        <v>1834</v>
      </c>
      <c r="B250" s="5" t="s">
        <v>1400</v>
      </c>
      <c r="C250" s="5" t="s">
        <v>138</v>
      </c>
      <c r="E250" s="5">
        <v>0</v>
      </c>
      <c r="F250" s="5" t="s">
        <v>1597</v>
      </c>
      <c r="G250" s="5" t="s">
        <v>1603</v>
      </c>
      <c r="H250" s="5" t="s">
        <v>1575</v>
      </c>
      <c r="I250" s="5">
        <v>3</v>
      </c>
    </row>
    <row r="251" spans="1:9" x14ac:dyDescent="0.25">
      <c r="A251" s="5" t="s">
        <v>1835</v>
      </c>
      <c r="B251" s="5" t="s">
        <v>1079</v>
      </c>
      <c r="C251" s="5" t="s">
        <v>20</v>
      </c>
      <c r="D251" s="6">
        <v>46153</v>
      </c>
      <c r="E251" s="5">
        <v>278.68</v>
      </c>
      <c r="F251" s="5" t="s">
        <v>1579</v>
      </c>
      <c r="H251" s="5" t="s">
        <v>1575</v>
      </c>
      <c r="I251" s="5">
        <v>2</v>
      </c>
    </row>
    <row r="252" spans="1:9" x14ac:dyDescent="0.25">
      <c r="A252" s="5" t="s">
        <v>1836</v>
      </c>
      <c r="B252" s="5" t="s">
        <v>302</v>
      </c>
      <c r="C252" s="5" t="s">
        <v>85</v>
      </c>
      <c r="D252" s="6">
        <v>46302</v>
      </c>
      <c r="E252" s="5">
        <v>24230.09</v>
      </c>
      <c r="F252" s="5" t="s">
        <v>1579</v>
      </c>
      <c r="H252" s="5" t="s">
        <v>1586</v>
      </c>
      <c r="I252" s="5">
        <v>1</v>
      </c>
    </row>
    <row r="253" spans="1:9" x14ac:dyDescent="0.25">
      <c r="A253" s="5" t="s">
        <v>1837</v>
      </c>
      <c r="B253" s="5" t="s">
        <v>671</v>
      </c>
      <c r="C253" s="5" t="s">
        <v>57</v>
      </c>
      <c r="D253" s="6">
        <v>46210</v>
      </c>
      <c r="E253" s="5">
        <v>13998.86</v>
      </c>
      <c r="F253" s="5" t="s">
        <v>1579</v>
      </c>
      <c r="H253" s="5" t="s">
        <v>1575</v>
      </c>
      <c r="I253" s="5">
        <v>1</v>
      </c>
    </row>
    <row r="254" spans="1:9" x14ac:dyDescent="0.25">
      <c r="A254" s="5" t="s">
        <v>1838</v>
      </c>
      <c r="B254" s="5" t="s">
        <v>614</v>
      </c>
      <c r="C254" s="5" t="s">
        <v>163</v>
      </c>
      <c r="E254" s="5">
        <v>0</v>
      </c>
      <c r="F254" s="5" t="s">
        <v>1573</v>
      </c>
      <c r="G254" s="5" t="s">
        <v>1678</v>
      </c>
      <c r="H254" s="5" t="s">
        <v>1575</v>
      </c>
      <c r="I254" s="5">
        <v>2</v>
      </c>
    </row>
    <row r="255" spans="1:9" x14ac:dyDescent="0.25">
      <c r="A255" s="5" t="s">
        <v>1839</v>
      </c>
      <c r="B255" s="5" t="s">
        <v>557</v>
      </c>
      <c r="C255" s="5" t="s">
        <v>89</v>
      </c>
      <c r="D255" s="6">
        <v>46170</v>
      </c>
      <c r="E255" s="5">
        <v>10565.26</v>
      </c>
      <c r="F255" s="5" t="s">
        <v>1579</v>
      </c>
      <c r="H255" s="5" t="s">
        <v>1586</v>
      </c>
      <c r="I255" s="5">
        <v>1</v>
      </c>
    </row>
    <row r="256" spans="1:9" x14ac:dyDescent="0.25">
      <c r="A256" s="5" t="s">
        <v>1840</v>
      </c>
      <c r="B256" s="5" t="s">
        <v>968</v>
      </c>
      <c r="C256" s="5" t="s">
        <v>112</v>
      </c>
      <c r="D256" s="6">
        <v>46314</v>
      </c>
      <c r="E256" s="5">
        <v>5557.32</v>
      </c>
      <c r="F256" s="5" t="s">
        <v>1579</v>
      </c>
      <c r="H256" s="5" t="s">
        <v>1582</v>
      </c>
      <c r="I256" s="5">
        <v>3</v>
      </c>
    </row>
    <row r="257" spans="1:9" x14ac:dyDescent="0.25">
      <c r="A257" s="5" t="s">
        <v>1841</v>
      </c>
      <c r="B257" s="5" t="s">
        <v>1564</v>
      </c>
      <c r="C257" s="5" t="s">
        <v>36</v>
      </c>
      <c r="D257" s="6">
        <v>46289</v>
      </c>
      <c r="E257" s="5">
        <v>10525.79</v>
      </c>
      <c r="F257" s="5" t="s">
        <v>1579</v>
      </c>
      <c r="H257" s="5" t="s">
        <v>1586</v>
      </c>
      <c r="I257" s="5">
        <v>1</v>
      </c>
    </row>
    <row r="258" spans="1:9" x14ac:dyDescent="0.25">
      <c r="A258" s="5" t="s">
        <v>1842</v>
      </c>
      <c r="B258" s="5" t="s">
        <v>482</v>
      </c>
      <c r="C258" s="5" t="s">
        <v>85</v>
      </c>
      <c r="D258" s="6">
        <v>46100</v>
      </c>
      <c r="E258" s="5">
        <v>6173.71</v>
      </c>
      <c r="F258" s="5" t="s">
        <v>1579</v>
      </c>
      <c r="H258" s="5" t="s">
        <v>1575</v>
      </c>
      <c r="I258" s="5">
        <v>2</v>
      </c>
    </row>
    <row r="259" spans="1:9" x14ac:dyDescent="0.25">
      <c r="A259" s="5" t="s">
        <v>1843</v>
      </c>
      <c r="B259" s="5" t="s">
        <v>422</v>
      </c>
      <c r="C259" s="5" t="s">
        <v>112</v>
      </c>
      <c r="D259" s="6">
        <v>46341</v>
      </c>
      <c r="E259" s="5">
        <v>5632.16</v>
      </c>
      <c r="F259" s="5" t="s">
        <v>1579</v>
      </c>
      <c r="H259" s="5" t="s">
        <v>1575</v>
      </c>
      <c r="I259" s="5">
        <v>1</v>
      </c>
    </row>
    <row r="260" spans="1:9" x14ac:dyDescent="0.25">
      <c r="A260" s="5" t="s">
        <v>1844</v>
      </c>
      <c r="B260" s="5" t="s">
        <v>1094</v>
      </c>
      <c r="C260" s="5" t="s">
        <v>26</v>
      </c>
      <c r="D260" s="6">
        <v>46247</v>
      </c>
      <c r="E260" s="5">
        <v>11726.16</v>
      </c>
      <c r="F260" s="5" t="s">
        <v>1579</v>
      </c>
      <c r="H260" s="5" t="s">
        <v>1586</v>
      </c>
      <c r="I260" s="5">
        <v>2</v>
      </c>
    </row>
    <row r="261" spans="1:9" x14ac:dyDescent="0.25">
      <c r="A261" s="5" t="s">
        <v>1845</v>
      </c>
      <c r="B261" s="5" t="s">
        <v>35</v>
      </c>
      <c r="C261" s="5" t="s">
        <v>36</v>
      </c>
      <c r="D261" s="6">
        <v>46284</v>
      </c>
      <c r="E261" s="5">
        <v>28837.72</v>
      </c>
      <c r="F261" s="5" t="s">
        <v>1579</v>
      </c>
      <c r="H261" s="5" t="s">
        <v>1575</v>
      </c>
      <c r="I261" s="5">
        <v>1</v>
      </c>
    </row>
    <row r="262" spans="1:9" x14ac:dyDescent="0.25">
      <c r="A262" s="5" t="s">
        <v>1846</v>
      </c>
      <c r="B262" s="5" t="s">
        <v>1247</v>
      </c>
      <c r="C262" s="5" t="s">
        <v>45</v>
      </c>
      <c r="D262" s="6">
        <v>46093</v>
      </c>
      <c r="E262" s="5">
        <v>6139.42</v>
      </c>
      <c r="F262" s="5" t="s">
        <v>1579</v>
      </c>
      <c r="H262" s="5" t="s">
        <v>1575</v>
      </c>
      <c r="I262" s="5">
        <v>1</v>
      </c>
    </row>
    <row r="263" spans="1:9" x14ac:dyDescent="0.25">
      <c r="A263" s="5" t="s">
        <v>1847</v>
      </c>
      <c r="B263" s="5" t="s">
        <v>1457</v>
      </c>
      <c r="C263" s="5" t="s">
        <v>57</v>
      </c>
      <c r="D263" s="6">
        <v>46352</v>
      </c>
      <c r="E263" s="5">
        <v>20094.080000000002</v>
      </c>
      <c r="F263" s="5" t="s">
        <v>1579</v>
      </c>
      <c r="H263" s="5" t="s">
        <v>1582</v>
      </c>
      <c r="I263" s="5">
        <v>1</v>
      </c>
    </row>
    <row r="264" spans="1:9" x14ac:dyDescent="0.25">
      <c r="A264" s="5" t="s">
        <v>1848</v>
      </c>
      <c r="B264" s="5" t="s">
        <v>1289</v>
      </c>
      <c r="C264" s="5" t="s">
        <v>122</v>
      </c>
      <c r="D264" s="6">
        <v>46106</v>
      </c>
      <c r="E264" s="5">
        <v>24809.61</v>
      </c>
      <c r="F264" s="5" t="s">
        <v>1579</v>
      </c>
      <c r="H264" s="5" t="s">
        <v>1575</v>
      </c>
      <c r="I264" s="5">
        <v>1</v>
      </c>
    </row>
    <row r="265" spans="1:9" x14ac:dyDescent="0.25">
      <c r="A265" s="5" t="s">
        <v>1849</v>
      </c>
      <c r="B265" s="5" t="s">
        <v>1172</v>
      </c>
      <c r="C265" s="5" t="s">
        <v>71</v>
      </c>
      <c r="D265" s="6">
        <v>46113</v>
      </c>
      <c r="E265" s="5">
        <v>9722.11</v>
      </c>
      <c r="F265" s="5" t="s">
        <v>1579</v>
      </c>
      <c r="H265" s="5" t="s">
        <v>1586</v>
      </c>
      <c r="I265" s="5">
        <v>1</v>
      </c>
    </row>
    <row r="266" spans="1:9" x14ac:dyDescent="0.25">
      <c r="A266" s="5" t="s">
        <v>1850</v>
      </c>
      <c r="B266" s="5" t="s">
        <v>377</v>
      </c>
      <c r="C266" s="5" t="s">
        <v>122</v>
      </c>
      <c r="E266" s="5">
        <v>0</v>
      </c>
      <c r="F266" s="5" t="s">
        <v>1573</v>
      </c>
      <c r="G266" s="5" t="s">
        <v>1598</v>
      </c>
      <c r="H266" s="5" t="s">
        <v>1582</v>
      </c>
      <c r="I266" s="5">
        <v>1</v>
      </c>
    </row>
    <row r="267" spans="1:9" x14ac:dyDescent="0.25">
      <c r="A267" s="5" t="s">
        <v>1851</v>
      </c>
      <c r="B267" s="5" t="s">
        <v>1406</v>
      </c>
      <c r="C267" s="5" t="s">
        <v>32</v>
      </c>
      <c r="D267" s="6">
        <v>46199</v>
      </c>
      <c r="E267" s="5">
        <v>17831.43</v>
      </c>
      <c r="F267" s="5" t="s">
        <v>1579</v>
      </c>
      <c r="H267" s="5" t="s">
        <v>1582</v>
      </c>
      <c r="I267" s="5">
        <v>1</v>
      </c>
    </row>
    <row r="268" spans="1:9" x14ac:dyDescent="0.25">
      <c r="A268" s="5" t="s">
        <v>1852</v>
      </c>
      <c r="B268" s="5" t="s">
        <v>141</v>
      </c>
      <c r="C268" s="5" t="s">
        <v>12</v>
      </c>
      <c r="E268" s="5">
        <v>0</v>
      </c>
      <c r="F268" s="5" t="s">
        <v>1573</v>
      </c>
      <c r="G268" s="5" t="s">
        <v>1603</v>
      </c>
      <c r="H268" s="5" t="s">
        <v>1582</v>
      </c>
      <c r="I268" s="5">
        <v>2</v>
      </c>
    </row>
    <row r="269" spans="1:9" x14ac:dyDescent="0.25">
      <c r="A269" s="5" t="s">
        <v>1853</v>
      </c>
      <c r="B269" s="5" t="s">
        <v>437</v>
      </c>
      <c r="C269" s="5" t="s">
        <v>45</v>
      </c>
      <c r="D269" s="6">
        <v>46258</v>
      </c>
      <c r="E269" s="5">
        <v>10737.89</v>
      </c>
      <c r="F269" s="5" t="s">
        <v>1579</v>
      </c>
      <c r="H269" s="5" t="s">
        <v>1586</v>
      </c>
      <c r="I269" s="5">
        <v>3</v>
      </c>
    </row>
    <row r="270" spans="1:9" x14ac:dyDescent="0.25">
      <c r="A270" s="5" t="s">
        <v>1854</v>
      </c>
      <c r="B270" s="5" t="s">
        <v>1226</v>
      </c>
      <c r="C270" s="5" t="s">
        <v>138</v>
      </c>
      <c r="D270" s="6">
        <v>46319</v>
      </c>
      <c r="E270" s="5">
        <v>1052.1500000000001</v>
      </c>
      <c r="F270" s="5" t="s">
        <v>1579</v>
      </c>
      <c r="H270" s="5" t="s">
        <v>1586</v>
      </c>
      <c r="I270" s="5">
        <v>1</v>
      </c>
    </row>
    <row r="271" spans="1:9" x14ac:dyDescent="0.25">
      <c r="A271" s="5" t="s">
        <v>1855</v>
      </c>
      <c r="B271" s="5" t="s">
        <v>1415</v>
      </c>
      <c r="C271" s="5" t="s">
        <v>163</v>
      </c>
      <c r="D271" s="6">
        <v>46268</v>
      </c>
      <c r="E271" s="5">
        <v>21849.07</v>
      </c>
      <c r="F271" s="5" t="s">
        <v>1579</v>
      </c>
      <c r="H271" s="5" t="s">
        <v>1586</v>
      </c>
      <c r="I271" s="5">
        <v>1</v>
      </c>
    </row>
    <row r="272" spans="1:9" x14ac:dyDescent="0.25">
      <c r="A272" s="5" t="s">
        <v>1856</v>
      </c>
      <c r="B272" s="5" t="s">
        <v>74</v>
      </c>
      <c r="C272" s="5" t="s">
        <v>75</v>
      </c>
      <c r="D272" s="6">
        <v>46167</v>
      </c>
      <c r="E272" s="5">
        <v>13536.14</v>
      </c>
      <c r="F272" s="5" t="s">
        <v>1579</v>
      </c>
      <c r="H272" s="5" t="s">
        <v>1582</v>
      </c>
      <c r="I272" s="5">
        <v>1</v>
      </c>
    </row>
    <row r="273" spans="1:9" x14ac:dyDescent="0.25">
      <c r="A273" s="5" t="s">
        <v>1857</v>
      </c>
      <c r="B273" s="5" t="s">
        <v>1552</v>
      </c>
      <c r="C273" s="5" t="s">
        <v>71</v>
      </c>
      <c r="E273" s="5">
        <v>0</v>
      </c>
      <c r="F273" s="5" t="s">
        <v>1597</v>
      </c>
      <c r="G273" s="5" t="s">
        <v>1574</v>
      </c>
      <c r="H273" s="5" t="s">
        <v>1582</v>
      </c>
      <c r="I273" s="5">
        <v>1</v>
      </c>
    </row>
    <row r="274" spans="1:9" x14ac:dyDescent="0.25">
      <c r="A274" s="5" t="s">
        <v>1858</v>
      </c>
      <c r="B274" s="5" t="s">
        <v>743</v>
      </c>
      <c r="C274" s="5" t="s">
        <v>49</v>
      </c>
      <c r="E274" s="5">
        <v>0</v>
      </c>
      <c r="F274" s="5" t="s">
        <v>1597</v>
      </c>
      <c r="G274" s="5" t="s">
        <v>1641</v>
      </c>
      <c r="H274" s="5" t="s">
        <v>1586</v>
      </c>
      <c r="I274" s="5">
        <v>1</v>
      </c>
    </row>
    <row r="275" spans="1:9" x14ac:dyDescent="0.25">
      <c r="A275" s="5" t="s">
        <v>1859</v>
      </c>
      <c r="B275" s="5" t="s">
        <v>1148</v>
      </c>
      <c r="C275" s="5" t="s">
        <v>89</v>
      </c>
      <c r="D275" s="6">
        <v>46152</v>
      </c>
      <c r="E275" s="5">
        <v>41729.61</v>
      </c>
      <c r="F275" s="5" t="s">
        <v>1579</v>
      </c>
      <c r="H275" s="5" t="s">
        <v>1582</v>
      </c>
      <c r="I275" s="5">
        <v>1</v>
      </c>
    </row>
    <row r="276" spans="1:9" x14ac:dyDescent="0.25">
      <c r="A276" s="5" t="s">
        <v>1860</v>
      </c>
      <c r="B276" s="5" t="s">
        <v>413</v>
      </c>
      <c r="C276" s="5" t="s">
        <v>122</v>
      </c>
      <c r="E276" s="5">
        <v>0</v>
      </c>
      <c r="F276" s="5" t="s">
        <v>1597</v>
      </c>
      <c r="G276" s="5" t="s">
        <v>1641</v>
      </c>
      <c r="H276" s="5" t="s">
        <v>1575</v>
      </c>
      <c r="I276" s="5">
        <v>2</v>
      </c>
    </row>
    <row r="277" spans="1:9" x14ac:dyDescent="0.25">
      <c r="A277" s="5" t="s">
        <v>1861</v>
      </c>
      <c r="B277" s="5" t="s">
        <v>1205</v>
      </c>
      <c r="C277" s="5" t="s">
        <v>89</v>
      </c>
      <c r="D277" s="6">
        <v>46255</v>
      </c>
      <c r="E277" s="5">
        <v>20481.919999999998</v>
      </c>
      <c r="F277" s="5" t="s">
        <v>1579</v>
      </c>
      <c r="H277" s="5" t="s">
        <v>1586</v>
      </c>
      <c r="I277" s="5">
        <v>1</v>
      </c>
    </row>
    <row r="278" spans="1:9" x14ac:dyDescent="0.25">
      <c r="A278" s="5" t="s">
        <v>1862</v>
      </c>
      <c r="B278" s="5" t="s">
        <v>1551</v>
      </c>
      <c r="C278" s="5" t="s">
        <v>138</v>
      </c>
      <c r="D278" s="6">
        <v>46212</v>
      </c>
      <c r="E278" s="5">
        <v>11662.5</v>
      </c>
      <c r="F278" s="5" t="s">
        <v>1579</v>
      </c>
      <c r="H278" s="5" t="s">
        <v>1575</v>
      </c>
      <c r="I278" s="5">
        <v>1</v>
      </c>
    </row>
    <row r="279" spans="1:9" x14ac:dyDescent="0.25">
      <c r="A279" s="5" t="s">
        <v>1863</v>
      </c>
      <c r="B279" s="5" t="s">
        <v>719</v>
      </c>
      <c r="C279" s="5" t="s">
        <v>75</v>
      </c>
      <c r="D279" s="6">
        <v>46294</v>
      </c>
      <c r="E279" s="5">
        <v>16305.4</v>
      </c>
      <c r="F279" s="5" t="s">
        <v>1579</v>
      </c>
      <c r="H279" s="5" t="s">
        <v>1575</v>
      </c>
      <c r="I279" s="5">
        <v>1</v>
      </c>
    </row>
    <row r="280" spans="1:9" x14ac:dyDescent="0.25">
      <c r="A280" s="5" t="s">
        <v>1864</v>
      </c>
      <c r="B280" s="5" t="s">
        <v>425</v>
      </c>
      <c r="C280" s="5" t="s">
        <v>89</v>
      </c>
      <c r="D280" s="6">
        <v>46331</v>
      </c>
      <c r="E280" s="5">
        <v>21200.79</v>
      </c>
      <c r="F280" s="5" t="s">
        <v>1579</v>
      </c>
      <c r="H280" s="5" t="s">
        <v>1575</v>
      </c>
      <c r="I280" s="5">
        <v>1</v>
      </c>
    </row>
    <row r="281" spans="1:9" x14ac:dyDescent="0.25">
      <c r="A281" s="5" t="s">
        <v>1865</v>
      </c>
      <c r="B281" s="5" t="s">
        <v>866</v>
      </c>
      <c r="C281" s="5" t="s">
        <v>138</v>
      </c>
      <c r="D281" s="6">
        <v>46244</v>
      </c>
      <c r="E281" s="5">
        <v>24226.74</v>
      </c>
      <c r="F281" s="5" t="s">
        <v>1579</v>
      </c>
      <c r="H281" s="5" t="s">
        <v>1586</v>
      </c>
      <c r="I281" s="5">
        <v>1</v>
      </c>
    </row>
    <row r="282" spans="1:9" x14ac:dyDescent="0.25">
      <c r="A282" s="5" t="s">
        <v>1866</v>
      </c>
      <c r="B282" s="5" t="s">
        <v>1340</v>
      </c>
      <c r="C282" s="5" t="s">
        <v>85</v>
      </c>
      <c r="E282" s="5">
        <v>0</v>
      </c>
      <c r="F282" s="5" t="s">
        <v>1597</v>
      </c>
      <c r="G282" s="5" t="s">
        <v>1667</v>
      </c>
      <c r="H282" s="5" t="s">
        <v>1586</v>
      </c>
      <c r="I282" s="5">
        <v>2</v>
      </c>
    </row>
    <row r="283" spans="1:9" x14ac:dyDescent="0.25">
      <c r="A283" s="5" t="s">
        <v>1867</v>
      </c>
      <c r="B283" s="5" t="s">
        <v>827</v>
      </c>
      <c r="C283" s="5" t="s">
        <v>75</v>
      </c>
      <c r="D283" s="6">
        <v>46314</v>
      </c>
      <c r="E283" s="5">
        <v>4305.6499999999996</v>
      </c>
      <c r="F283" s="5" t="s">
        <v>1579</v>
      </c>
      <c r="H283" s="5" t="s">
        <v>1582</v>
      </c>
      <c r="I283" s="5">
        <v>1</v>
      </c>
    </row>
    <row r="284" spans="1:9" x14ac:dyDescent="0.25">
      <c r="A284" s="5" t="s">
        <v>1868</v>
      </c>
      <c r="B284" s="5" t="s">
        <v>218</v>
      </c>
      <c r="C284" s="5" t="s">
        <v>20</v>
      </c>
      <c r="D284" s="6">
        <v>46104</v>
      </c>
      <c r="E284" s="5">
        <v>19557.080000000002</v>
      </c>
      <c r="F284" s="5" t="s">
        <v>1579</v>
      </c>
      <c r="H284" s="5" t="s">
        <v>1586</v>
      </c>
      <c r="I284" s="5">
        <v>2</v>
      </c>
    </row>
    <row r="285" spans="1:9" x14ac:dyDescent="0.25">
      <c r="A285" s="5" t="s">
        <v>1869</v>
      </c>
      <c r="B285" s="5" t="s">
        <v>1562</v>
      </c>
      <c r="C285" s="5" t="s">
        <v>122</v>
      </c>
      <c r="D285" s="6">
        <v>46265</v>
      </c>
      <c r="E285" s="5">
        <v>4502.29</v>
      </c>
      <c r="F285" s="5" t="s">
        <v>1579</v>
      </c>
      <c r="H285" s="5" t="s">
        <v>1582</v>
      </c>
      <c r="I285" s="5">
        <v>1</v>
      </c>
    </row>
    <row r="286" spans="1:9" x14ac:dyDescent="0.25">
      <c r="A286" s="5" t="s">
        <v>1870</v>
      </c>
      <c r="B286" s="5" t="s">
        <v>491</v>
      </c>
      <c r="C286" s="5" t="s">
        <v>12</v>
      </c>
      <c r="D286" s="6">
        <v>46350</v>
      </c>
      <c r="E286" s="5">
        <v>11663.15</v>
      </c>
      <c r="F286" s="5" t="s">
        <v>1579</v>
      </c>
      <c r="H286" s="5" t="s">
        <v>1586</v>
      </c>
      <c r="I286" s="5">
        <v>1</v>
      </c>
    </row>
    <row r="287" spans="1:9" x14ac:dyDescent="0.25">
      <c r="A287" s="5" t="s">
        <v>1871</v>
      </c>
      <c r="B287" s="5" t="s">
        <v>1496</v>
      </c>
      <c r="C287" s="5" t="s">
        <v>57</v>
      </c>
      <c r="E287" s="5">
        <v>0</v>
      </c>
      <c r="F287" s="5" t="s">
        <v>1573</v>
      </c>
      <c r="G287" s="5" t="s">
        <v>1600</v>
      </c>
      <c r="H287" s="5" t="s">
        <v>1586</v>
      </c>
      <c r="I287" s="5">
        <v>1</v>
      </c>
    </row>
    <row r="288" spans="1:9" x14ac:dyDescent="0.25">
      <c r="A288" s="5" t="s">
        <v>1872</v>
      </c>
      <c r="B288" s="5" t="s">
        <v>150</v>
      </c>
      <c r="C288" s="5" t="s">
        <v>57</v>
      </c>
      <c r="E288" s="5">
        <v>0</v>
      </c>
      <c r="F288" s="5" t="s">
        <v>1597</v>
      </c>
      <c r="G288" s="5" t="s">
        <v>1678</v>
      </c>
      <c r="H288" s="5" t="s">
        <v>1586</v>
      </c>
      <c r="I288" s="5">
        <v>1</v>
      </c>
    </row>
    <row r="289" spans="1:9" x14ac:dyDescent="0.25">
      <c r="A289" s="5" t="s">
        <v>1873</v>
      </c>
      <c r="B289" s="5" t="s">
        <v>947</v>
      </c>
      <c r="C289" s="5" t="s">
        <v>138</v>
      </c>
      <c r="D289" s="6">
        <v>46082</v>
      </c>
      <c r="E289" s="5">
        <v>15999.99</v>
      </c>
      <c r="F289" s="5" t="s">
        <v>1579</v>
      </c>
      <c r="H289" s="5" t="s">
        <v>1575</v>
      </c>
      <c r="I289" s="5">
        <v>1</v>
      </c>
    </row>
    <row r="290" spans="1:9" x14ac:dyDescent="0.25">
      <c r="A290" s="5" t="s">
        <v>1874</v>
      </c>
      <c r="B290" s="5" t="s">
        <v>1280</v>
      </c>
      <c r="C290" s="5" t="s">
        <v>49</v>
      </c>
      <c r="E290" s="5">
        <v>0</v>
      </c>
      <c r="F290" s="5" t="s">
        <v>1573</v>
      </c>
      <c r="G290" s="5" t="s">
        <v>1678</v>
      </c>
      <c r="H290" s="5" t="s">
        <v>1575</v>
      </c>
      <c r="I290" s="5">
        <v>2</v>
      </c>
    </row>
    <row r="291" spans="1:9" x14ac:dyDescent="0.25">
      <c r="A291" s="5" t="s">
        <v>1875</v>
      </c>
      <c r="B291" s="5" t="s">
        <v>818</v>
      </c>
      <c r="C291" s="5" t="s">
        <v>75</v>
      </c>
      <c r="D291" s="6">
        <v>46217</v>
      </c>
      <c r="E291" s="5">
        <v>22868.54</v>
      </c>
      <c r="F291" s="5" t="s">
        <v>1579</v>
      </c>
      <c r="H291" s="5" t="s">
        <v>1586</v>
      </c>
      <c r="I291" s="5">
        <v>1</v>
      </c>
    </row>
    <row r="292" spans="1:9" x14ac:dyDescent="0.25">
      <c r="A292" s="5" t="s">
        <v>1876</v>
      </c>
      <c r="B292" s="5" t="s">
        <v>665</v>
      </c>
      <c r="C292" s="5" t="s">
        <v>57</v>
      </c>
      <c r="D292" s="6">
        <v>46073</v>
      </c>
      <c r="E292" s="5">
        <v>10086.469999999999</v>
      </c>
      <c r="F292" s="5" t="s">
        <v>1579</v>
      </c>
      <c r="H292" s="5" t="s">
        <v>1575</v>
      </c>
      <c r="I292" s="5">
        <v>1</v>
      </c>
    </row>
    <row r="293" spans="1:9" x14ac:dyDescent="0.25">
      <c r="A293" s="5" t="s">
        <v>1877</v>
      </c>
      <c r="B293" s="5" t="s">
        <v>1394</v>
      </c>
      <c r="C293" s="5" t="s">
        <v>170</v>
      </c>
      <c r="D293" s="6">
        <v>46297</v>
      </c>
      <c r="E293" s="5">
        <v>3469.74</v>
      </c>
      <c r="F293" s="5" t="s">
        <v>1579</v>
      </c>
      <c r="H293" s="5" t="s">
        <v>1575</v>
      </c>
      <c r="I293" s="5">
        <v>2</v>
      </c>
    </row>
    <row r="294" spans="1:9" x14ac:dyDescent="0.25">
      <c r="A294" s="5" t="s">
        <v>1878</v>
      </c>
      <c r="B294" s="5" t="s">
        <v>1262</v>
      </c>
      <c r="C294" s="5" t="s">
        <v>138</v>
      </c>
      <c r="D294" s="6">
        <v>46261</v>
      </c>
      <c r="E294" s="5">
        <v>59980.03</v>
      </c>
      <c r="F294" s="5" t="s">
        <v>1579</v>
      </c>
      <c r="H294" s="5" t="s">
        <v>1586</v>
      </c>
      <c r="I294" s="5">
        <v>1</v>
      </c>
    </row>
    <row r="295" spans="1:9" x14ac:dyDescent="0.25">
      <c r="A295" s="5" t="s">
        <v>1879</v>
      </c>
      <c r="B295" s="5" t="s">
        <v>1118</v>
      </c>
      <c r="C295" s="5" t="s">
        <v>45</v>
      </c>
      <c r="D295" s="6">
        <v>46118</v>
      </c>
      <c r="E295" s="5">
        <v>59064.95</v>
      </c>
      <c r="F295" s="5" t="s">
        <v>1579</v>
      </c>
      <c r="H295" s="5" t="s">
        <v>1575</v>
      </c>
      <c r="I295" s="5">
        <v>1</v>
      </c>
    </row>
    <row r="296" spans="1:9" x14ac:dyDescent="0.25">
      <c r="A296" s="5" t="s">
        <v>1880</v>
      </c>
      <c r="B296" s="5" t="s">
        <v>659</v>
      </c>
      <c r="C296" s="5" t="s">
        <v>36</v>
      </c>
      <c r="D296" s="6">
        <v>46297</v>
      </c>
      <c r="E296" s="5">
        <v>24171.16</v>
      </c>
      <c r="F296" s="5" t="s">
        <v>1579</v>
      </c>
      <c r="H296" s="5" t="s">
        <v>1586</v>
      </c>
      <c r="I296" s="5">
        <v>1</v>
      </c>
    </row>
    <row r="297" spans="1:9" x14ac:dyDescent="0.25">
      <c r="A297" s="5" t="s">
        <v>1881</v>
      </c>
      <c r="B297" s="5" t="s">
        <v>737</v>
      </c>
      <c r="C297" s="5" t="s">
        <v>85</v>
      </c>
      <c r="E297" s="5">
        <v>0</v>
      </c>
      <c r="F297" s="5" t="s">
        <v>1597</v>
      </c>
      <c r="G297" s="5" t="s">
        <v>1641</v>
      </c>
      <c r="H297" s="5" t="s">
        <v>1582</v>
      </c>
      <c r="I297" s="5">
        <v>1</v>
      </c>
    </row>
    <row r="298" spans="1:9" x14ac:dyDescent="0.25">
      <c r="A298" s="5" t="s">
        <v>1882</v>
      </c>
      <c r="B298" s="5" t="s">
        <v>1028</v>
      </c>
      <c r="C298" s="5" t="s">
        <v>41</v>
      </c>
      <c r="D298" s="6">
        <v>46215</v>
      </c>
      <c r="E298" s="5">
        <v>16682.599999999999</v>
      </c>
      <c r="F298" s="5" t="s">
        <v>1579</v>
      </c>
      <c r="H298" s="5" t="s">
        <v>1586</v>
      </c>
      <c r="I298" s="5">
        <v>1</v>
      </c>
    </row>
    <row r="299" spans="1:9" x14ac:dyDescent="0.25">
      <c r="A299" s="5" t="s">
        <v>1883</v>
      </c>
      <c r="B299" s="5" t="s">
        <v>386</v>
      </c>
      <c r="C299" s="5" t="s">
        <v>57</v>
      </c>
      <c r="D299" s="6">
        <v>46132</v>
      </c>
      <c r="E299" s="5">
        <v>43780.03</v>
      </c>
      <c r="F299" s="5" t="s">
        <v>1579</v>
      </c>
      <c r="H299" s="5" t="s">
        <v>1586</v>
      </c>
      <c r="I299" s="5">
        <v>1</v>
      </c>
    </row>
    <row r="300" spans="1:9" x14ac:dyDescent="0.25">
      <c r="A300" s="5" t="s">
        <v>1884</v>
      </c>
      <c r="B300" s="5" t="s">
        <v>986</v>
      </c>
      <c r="C300" s="5" t="s">
        <v>41</v>
      </c>
      <c r="D300" s="6">
        <v>46298</v>
      </c>
      <c r="E300" s="5">
        <v>3657.23</v>
      </c>
      <c r="F300" s="5" t="s">
        <v>1579</v>
      </c>
      <c r="H300" s="5" t="s">
        <v>1586</v>
      </c>
      <c r="I300" s="5">
        <v>1</v>
      </c>
    </row>
    <row r="301" spans="1:9" x14ac:dyDescent="0.25">
      <c r="A301" s="5" t="s">
        <v>1885</v>
      </c>
      <c r="B301" s="5" t="s">
        <v>572</v>
      </c>
      <c r="C301" s="5" t="s">
        <v>122</v>
      </c>
      <c r="D301" s="6">
        <v>46106</v>
      </c>
      <c r="E301" s="5">
        <v>8885.2000000000007</v>
      </c>
      <c r="F301" s="5" t="s">
        <v>1579</v>
      </c>
      <c r="H301" s="5" t="s">
        <v>1575</v>
      </c>
      <c r="I301" s="5">
        <v>1</v>
      </c>
    </row>
    <row r="302" spans="1:9" x14ac:dyDescent="0.25">
      <c r="A302" s="5" t="s">
        <v>1886</v>
      </c>
      <c r="B302" s="5" t="s">
        <v>575</v>
      </c>
      <c r="C302" s="5" t="s">
        <v>75</v>
      </c>
      <c r="D302" s="6">
        <v>46162</v>
      </c>
      <c r="E302" s="5">
        <v>52166.66</v>
      </c>
      <c r="F302" s="5" t="s">
        <v>1579</v>
      </c>
      <c r="H302" s="5" t="s">
        <v>1586</v>
      </c>
      <c r="I302" s="5">
        <v>2</v>
      </c>
    </row>
    <row r="303" spans="1:9" x14ac:dyDescent="0.25">
      <c r="A303" s="5" t="s">
        <v>1887</v>
      </c>
      <c r="B303" s="5" t="s">
        <v>935</v>
      </c>
      <c r="C303" s="5" t="s">
        <v>12</v>
      </c>
      <c r="D303" s="6">
        <v>46274</v>
      </c>
      <c r="E303" s="5">
        <v>10759.06</v>
      </c>
      <c r="F303" s="5" t="s">
        <v>1579</v>
      </c>
      <c r="H303" s="5" t="s">
        <v>1582</v>
      </c>
      <c r="I303" s="5">
        <v>2</v>
      </c>
    </row>
    <row r="304" spans="1:9" x14ac:dyDescent="0.25">
      <c r="A304" s="5" t="s">
        <v>1888</v>
      </c>
      <c r="B304" s="5" t="s">
        <v>1211</v>
      </c>
      <c r="C304" s="5" t="s">
        <v>138</v>
      </c>
      <c r="D304" s="6">
        <v>46109</v>
      </c>
      <c r="E304" s="5">
        <v>3112.61</v>
      </c>
      <c r="F304" s="5" t="s">
        <v>1579</v>
      </c>
      <c r="H304" s="5" t="s">
        <v>1582</v>
      </c>
      <c r="I304" s="5">
        <v>1</v>
      </c>
    </row>
    <row r="305" spans="1:9" x14ac:dyDescent="0.25">
      <c r="A305" s="5" t="s">
        <v>1889</v>
      </c>
      <c r="B305" s="5" t="s">
        <v>1352</v>
      </c>
      <c r="C305" s="5" t="s">
        <v>112</v>
      </c>
      <c r="E305" s="5">
        <v>0</v>
      </c>
      <c r="F305" s="5" t="s">
        <v>1573</v>
      </c>
      <c r="G305" s="5" t="s">
        <v>1641</v>
      </c>
      <c r="H305" s="5" t="s">
        <v>1586</v>
      </c>
      <c r="I305" s="5">
        <v>1</v>
      </c>
    </row>
    <row r="306" spans="1:9" x14ac:dyDescent="0.25">
      <c r="A306" s="5" t="s">
        <v>1890</v>
      </c>
      <c r="B306" s="5" t="s">
        <v>1145</v>
      </c>
      <c r="C306" s="5" t="s">
        <v>170</v>
      </c>
      <c r="D306" s="6">
        <v>46145</v>
      </c>
      <c r="E306" s="5">
        <v>14130.15</v>
      </c>
      <c r="F306" s="5" t="s">
        <v>1579</v>
      </c>
      <c r="H306" s="5" t="s">
        <v>1582</v>
      </c>
      <c r="I306" s="5">
        <v>1</v>
      </c>
    </row>
    <row r="307" spans="1:9" x14ac:dyDescent="0.25">
      <c r="A307" s="5" t="s">
        <v>1891</v>
      </c>
      <c r="B307" s="5" t="s">
        <v>1166</v>
      </c>
      <c r="C307" s="5" t="s">
        <v>20</v>
      </c>
      <c r="D307" s="6">
        <v>46088</v>
      </c>
      <c r="E307" s="5">
        <v>23424.79</v>
      </c>
      <c r="F307" s="5" t="s">
        <v>1579</v>
      </c>
      <c r="H307" s="5" t="s">
        <v>1582</v>
      </c>
      <c r="I307" s="5">
        <v>1</v>
      </c>
    </row>
    <row r="308" spans="1:9" x14ac:dyDescent="0.25">
      <c r="A308" s="5" t="s">
        <v>1892</v>
      </c>
      <c r="B308" s="5" t="s">
        <v>144</v>
      </c>
      <c r="C308" s="5" t="s">
        <v>45</v>
      </c>
      <c r="E308" s="5">
        <v>0</v>
      </c>
      <c r="F308" s="5" t="s">
        <v>1597</v>
      </c>
      <c r="G308" s="5" t="s">
        <v>1641</v>
      </c>
      <c r="H308" s="5" t="s">
        <v>1582</v>
      </c>
      <c r="I308" s="5">
        <v>1</v>
      </c>
    </row>
    <row r="309" spans="1:9" x14ac:dyDescent="0.25">
      <c r="A309" s="5" t="s">
        <v>1893</v>
      </c>
      <c r="B309" s="5" t="s">
        <v>48</v>
      </c>
      <c r="C309" s="5" t="s">
        <v>49</v>
      </c>
      <c r="D309" s="6">
        <v>46304</v>
      </c>
      <c r="E309" s="5">
        <v>19077.62</v>
      </c>
      <c r="F309" s="5" t="s">
        <v>1579</v>
      </c>
      <c r="H309" s="5" t="s">
        <v>1575</v>
      </c>
      <c r="I309" s="5">
        <v>3</v>
      </c>
    </row>
    <row r="310" spans="1:9" x14ac:dyDescent="0.25">
      <c r="A310" s="5" t="s">
        <v>1894</v>
      </c>
      <c r="B310" s="5" t="s">
        <v>1034</v>
      </c>
      <c r="C310" s="5" t="s">
        <v>85</v>
      </c>
      <c r="E310" s="5">
        <v>0</v>
      </c>
      <c r="F310" s="5" t="s">
        <v>1573</v>
      </c>
      <c r="G310" s="5" t="s">
        <v>1667</v>
      </c>
      <c r="H310" s="5" t="s">
        <v>1586</v>
      </c>
      <c r="I310" s="5">
        <v>1</v>
      </c>
    </row>
    <row r="311" spans="1:9" x14ac:dyDescent="0.25">
      <c r="A311" s="5" t="s">
        <v>1895</v>
      </c>
      <c r="B311" s="5" t="s">
        <v>347</v>
      </c>
      <c r="C311" s="5" t="s">
        <v>75</v>
      </c>
      <c r="D311" s="6">
        <v>46332</v>
      </c>
      <c r="E311" s="5">
        <v>47090.64</v>
      </c>
      <c r="F311" s="5" t="s">
        <v>1579</v>
      </c>
      <c r="H311" s="5" t="s">
        <v>1575</v>
      </c>
      <c r="I311" s="5">
        <v>1</v>
      </c>
    </row>
    <row r="312" spans="1:9" x14ac:dyDescent="0.25">
      <c r="A312" s="5" t="s">
        <v>1896</v>
      </c>
      <c r="B312" s="5" t="s">
        <v>941</v>
      </c>
      <c r="C312" s="5" t="s">
        <v>57</v>
      </c>
      <c r="D312" s="6">
        <v>46225</v>
      </c>
      <c r="E312" s="5">
        <v>5425.07</v>
      </c>
      <c r="F312" s="5" t="s">
        <v>1579</v>
      </c>
      <c r="H312" s="5" t="s">
        <v>1586</v>
      </c>
      <c r="I312" s="5">
        <v>1</v>
      </c>
    </row>
    <row r="313" spans="1:9" x14ac:dyDescent="0.25">
      <c r="A313" s="5" t="s">
        <v>1897</v>
      </c>
      <c r="B313" s="5" t="s">
        <v>662</v>
      </c>
      <c r="C313" s="5" t="s">
        <v>75</v>
      </c>
      <c r="D313" s="6">
        <v>46193</v>
      </c>
      <c r="E313" s="5">
        <v>13472.87</v>
      </c>
      <c r="F313" s="5" t="s">
        <v>1579</v>
      </c>
      <c r="H313" s="5" t="s">
        <v>1575</v>
      </c>
      <c r="I313" s="5">
        <v>2</v>
      </c>
    </row>
    <row r="314" spans="1:9" x14ac:dyDescent="0.25">
      <c r="A314" s="5" t="s">
        <v>1898</v>
      </c>
      <c r="B314" s="5" t="s">
        <v>647</v>
      </c>
      <c r="C314" s="5" t="s">
        <v>138</v>
      </c>
      <c r="D314" s="6">
        <v>46165</v>
      </c>
      <c r="E314" s="5">
        <v>8528.81</v>
      </c>
      <c r="F314" s="5" t="s">
        <v>1579</v>
      </c>
      <c r="H314" s="5" t="s">
        <v>1586</v>
      </c>
      <c r="I314" s="5">
        <v>1</v>
      </c>
    </row>
    <row r="315" spans="1:9" x14ac:dyDescent="0.25">
      <c r="A315" s="5" t="s">
        <v>1899</v>
      </c>
      <c r="B315" s="5" t="s">
        <v>581</v>
      </c>
      <c r="C315" s="5" t="s">
        <v>163</v>
      </c>
      <c r="D315" s="6">
        <v>46222</v>
      </c>
      <c r="E315" s="5">
        <v>47950.6</v>
      </c>
      <c r="F315" s="5" t="s">
        <v>1579</v>
      </c>
      <c r="H315" s="5" t="s">
        <v>1582</v>
      </c>
      <c r="I315" s="5">
        <v>1</v>
      </c>
    </row>
    <row r="316" spans="1:9" x14ac:dyDescent="0.25">
      <c r="A316" s="5" t="s">
        <v>1900</v>
      </c>
      <c r="B316" s="5" t="s">
        <v>653</v>
      </c>
      <c r="C316" s="5" t="s">
        <v>138</v>
      </c>
      <c r="D316" s="6">
        <v>46294</v>
      </c>
      <c r="E316" s="5">
        <v>6296.96</v>
      </c>
      <c r="F316" s="5" t="s">
        <v>1579</v>
      </c>
      <c r="H316" s="5" t="s">
        <v>1586</v>
      </c>
      <c r="I316" s="5">
        <v>1</v>
      </c>
    </row>
    <row r="317" spans="1:9" x14ac:dyDescent="0.25">
      <c r="A317" s="5" t="s">
        <v>1901</v>
      </c>
      <c r="B317" s="5" t="s">
        <v>1502</v>
      </c>
      <c r="C317" s="5" t="s">
        <v>85</v>
      </c>
      <c r="D317" s="6">
        <v>46125</v>
      </c>
      <c r="E317" s="5">
        <v>240.22</v>
      </c>
      <c r="F317" s="5" t="s">
        <v>1579</v>
      </c>
      <c r="H317" s="5" t="s">
        <v>1586</v>
      </c>
      <c r="I317" s="5">
        <v>1</v>
      </c>
    </row>
    <row r="318" spans="1:9" x14ac:dyDescent="0.25">
      <c r="A318" s="5" t="s">
        <v>1902</v>
      </c>
      <c r="B318" s="5" t="s">
        <v>173</v>
      </c>
      <c r="C318" s="5" t="s">
        <v>12</v>
      </c>
      <c r="D318" s="6">
        <v>46074</v>
      </c>
      <c r="E318" s="5">
        <v>7180.61</v>
      </c>
      <c r="F318" s="5" t="s">
        <v>1579</v>
      </c>
      <c r="H318" s="5" t="s">
        <v>1582</v>
      </c>
      <c r="I318" s="5">
        <v>1</v>
      </c>
    </row>
    <row r="319" spans="1:9" x14ac:dyDescent="0.25">
      <c r="A319" s="5" t="s">
        <v>1903</v>
      </c>
      <c r="B319" s="5" t="s">
        <v>281</v>
      </c>
      <c r="C319" s="5" t="s">
        <v>20</v>
      </c>
      <c r="D319" s="6">
        <v>46139</v>
      </c>
      <c r="E319" s="5">
        <v>13853.57</v>
      </c>
      <c r="F319" s="5" t="s">
        <v>1579</v>
      </c>
      <c r="H319" s="5" t="s">
        <v>1582</v>
      </c>
      <c r="I319" s="5">
        <v>1</v>
      </c>
    </row>
    <row r="320" spans="1:9" x14ac:dyDescent="0.25">
      <c r="A320" s="5" t="s">
        <v>1904</v>
      </c>
      <c r="B320" s="5" t="s">
        <v>1463</v>
      </c>
      <c r="C320" s="5" t="s">
        <v>53</v>
      </c>
      <c r="D320" s="6">
        <v>46294</v>
      </c>
      <c r="E320" s="5">
        <v>19238.439999999999</v>
      </c>
      <c r="F320" s="5" t="s">
        <v>1579</v>
      </c>
      <c r="H320" s="5" t="s">
        <v>1575</v>
      </c>
      <c r="I320" s="5">
        <v>1</v>
      </c>
    </row>
    <row r="321" spans="1:9" x14ac:dyDescent="0.25">
      <c r="A321" s="5" t="s">
        <v>1905</v>
      </c>
      <c r="B321" s="5" t="s">
        <v>407</v>
      </c>
      <c r="C321" s="5" t="s">
        <v>102</v>
      </c>
      <c r="D321" s="6">
        <v>46170</v>
      </c>
      <c r="E321" s="5">
        <v>16085.61</v>
      </c>
      <c r="F321" s="5" t="s">
        <v>1579</v>
      </c>
      <c r="H321" s="5" t="s">
        <v>1575</v>
      </c>
      <c r="I321" s="5">
        <v>2</v>
      </c>
    </row>
    <row r="322" spans="1:9" x14ac:dyDescent="0.25">
      <c r="A322" s="5" t="s">
        <v>1906</v>
      </c>
      <c r="B322" s="5" t="s">
        <v>593</v>
      </c>
      <c r="C322" s="5" t="s">
        <v>57</v>
      </c>
      <c r="D322" s="6">
        <v>46260</v>
      </c>
      <c r="E322" s="5">
        <v>6950.94</v>
      </c>
      <c r="F322" s="5" t="s">
        <v>1579</v>
      </c>
      <c r="H322" s="5" t="s">
        <v>1575</v>
      </c>
      <c r="I322" s="5">
        <v>2</v>
      </c>
    </row>
    <row r="323" spans="1:9" x14ac:dyDescent="0.25">
      <c r="A323" s="5" t="s">
        <v>1907</v>
      </c>
      <c r="B323" s="5" t="s">
        <v>88</v>
      </c>
      <c r="C323" s="5" t="s">
        <v>89</v>
      </c>
      <c r="D323" s="6">
        <v>46310</v>
      </c>
      <c r="E323" s="5">
        <v>21547.98</v>
      </c>
      <c r="F323" s="5" t="s">
        <v>1579</v>
      </c>
      <c r="H323" s="5" t="s">
        <v>1586</v>
      </c>
      <c r="I323" s="5">
        <v>1</v>
      </c>
    </row>
    <row r="324" spans="1:9" x14ac:dyDescent="0.25">
      <c r="A324" s="5" t="s">
        <v>1908</v>
      </c>
      <c r="B324" s="5" t="s">
        <v>299</v>
      </c>
      <c r="C324" s="5" t="s">
        <v>49</v>
      </c>
      <c r="D324" s="6">
        <v>46070</v>
      </c>
      <c r="E324" s="5">
        <v>19679.330000000002</v>
      </c>
      <c r="F324" s="5" t="s">
        <v>1579</v>
      </c>
      <c r="H324" s="5" t="s">
        <v>1575</v>
      </c>
      <c r="I324" s="5">
        <v>1</v>
      </c>
    </row>
    <row r="325" spans="1:9" x14ac:dyDescent="0.25">
      <c r="A325" s="5" t="s">
        <v>1909</v>
      </c>
      <c r="B325" s="5" t="s">
        <v>1070</v>
      </c>
      <c r="C325" s="5" t="s">
        <v>36</v>
      </c>
      <c r="D325" s="6">
        <v>46080</v>
      </c>
      <c r="E325" s="5">
        <v>4582.09</v>
      </c>
      <c r="F325" s="5" t="s">
        <v>1579</v>
      </c>
      <c r="H325" s="5" t="s">
        <v>1586</v>
      </c>
      <c r="I325" s="5">
        <v>3</v>
      </c>
    </row>
    <row r="326" spans="1:9" x14ac:dyDescent="0.25">
      <c r="A326" s="5" t="s">
        <v>1910</v>
      </c>
      <c r="B326" s="5" t="s">
        <v>395</v>
      </c>
      <c r="C326" s="5" t="s">
        <v>163</v>
      </c>
      <c r="D326" s="6">
        <v>46341</v>
      </c>
      <c r="E326" s="5">
        <v>3009.08</v>
      </c>
      <c r="F326" s="5" t="s">
        <v>1579</v>
      </c>
      <c r="H326" s="5" t="s">
        <v>1575</v>
      </c>
      <c r="I326" s="5">
        <v>2</v>
      </c>
    </row>
    <row r="327" spans="1:9" x14ac:dyDescent="0.25">
      <c r="A327" s="5" t="s">
        <v>1911</v>
      </c>
      <c r="B327" s="5" t="s">
        <v>833</v>
      </c>
      <c r="C327" s="5" t="s">
        <v>20</v>
      </c>
      <c r="D327" s="6">
        <v>46088</v>
      </c>
      <c r="E327" s="5">
        <v>42700.65</v>
      </c>
      <c r="F327" s="5" t="s">
        <v>1579</v>
      </c>
      <c r="H327" s="5" t="s">
        <v>1575</v>
      </c>
      <c r="I327" s="5">
        <v>2</v>
      </c>
    </row>
    <row r="328" spans="1:9" x14ac:dyDescent="0.25">
      <c r="A328" s="5" t="s">
        <v>1912</v>
      </c>
      <c r="B328" s="5" t="s">
        <v>824</v>
      </c>
      <c r="C328" s="5" t="s">
        <v>170</v>
      </c>
      <c r="D328" s="6">
        <v>46217</v>
      </c>
      <c r="E328" s="5">
        <v>12542.62</v>
      </c>
      <c r="F328" s="5" t="s">
        <v>1579</v>
      </c>
      <c r="H328" s="5" t="s">
        <v>1575</v>
      </c>
      <c r="I328" s="5">
        <v>1</v>
      </c>
    </row>
    <row r="329" spans="1:9" x14ac:dyDescent="0.25">
      <c r="A329" s="5" t="s">
        <v>1913</v>
      </c>
      <c r="B329" s="5" t="s">
        <v>1349</v>
      </c>
      <c r="C329" s="5" t="s">
        <v>12</v>
      </c>
      <c r="D329" s="6">
        <v>46142</v>
      </c>
      <c r="E329" s="5">
        <v>3416.89</v>
      </c>
      <c r="F329" s="5" t="s">
        <v>1579</v>
      </c>
      <c r="H329" s="5" t="s">
        <v>1582</v>
      </c>
      <c r="I329" s="5">
        <v>1</v>
      </c>
    </row>
    <row r="330" spans="1:9" x14ac:dyDescent="0.25">
      <c r="A330" s="5" t="s">
        <v>1914</v>
      </c>
      <c r="B330" s="5" t="s">
        <v>84</v>
      </c>
      <c r="C330" s="5" t="s">
        <v>85</v>
      </c>
      <c r="E330" s="5">
        <v>0</v>
      </c>
      <c r="F330" s="5" t="s">
        <v>1597</v>
      </c>
      <c r="G330" s="5" t="s">
        <v>1641</v>
      </c>
      <c r="H330" s="5" t="s">
        <v>1575</v>
      </c>
      <c r="I330" s="5">
        <v>1</v>
      </c>
    </row>
    <row r="331" spans="1:9" x14ac:dyDescent="0.25">
      <c r="A331" s="5" t="s">
        <v>1915</v>
      </c>
      <c r="B331" s="5" t="s">
        <v>338</v>
      </c>
      <c r="C331" s="5" t="s">
        <v>122</v>
      </c>
      <c r="E331" s="5">
        <v>0</v>
      </c>
      <c r="F331" s="5" t="s">
        <v>1597</v>
      </c>
      <c r="G331" s="5" t="s">
        <v>1574</v>
      </c>
      <c r="H331" s="5" t="s">
        <v>1582</v>
      </c>
      <c r="I331" s="5">
        <v>1</v>
      </c>
    </row>
    <row r="332" spans="1:9" x14ac:dyDescent="0.25">
      <c r="A332" s="5" t="s">
        <v>1916</v>
      </c>
      <c r="B332" s="5" t="s">
        <v>1061</v>
      </c>
      <c r="C332" s="5" t="s">
        <v>170</v>
      </c>
      <c r="E332" s="5">
        <v>0</v>
      </c>
      <c r="F332" s="5" t="s">
        <v>1597</v>
      </c>
      <c r="G332" s="5" t="s">
        <v>1603</v>
      </c>
      <c r="H332" s="5" t="s">
        <v>1586</v>
      </c>
      <c r="I332" s="5">
        <v>2</v>
      </c>
    </row>
    <row r="333" spans="1:9" x14ac:dyDescent="0.25">
      <c r="A333" s="5" t="s">
        <v>1917</v>
      </c>
      <c r="B333" s="5" t="s">
        <v>836</v>
      </c>
      <c r="C333" s="5" t="s">
        <v>75</v>
      </c>
      <c r="D333" s="6">
        <v>46313</v>
      </c>
      <c r="E333" s="5">
        <v>485.84</v>
      </c>
      <c r="F333" s="5" t="s">
        <v>1579</v>
      </c>
      <c r="H333" s="5" t="s">
        <v>1586</v>
      </c>
      <c r="I333" s="5">
        <v>1</v>
      </c>
    </row>
    <row r="334" spans="1:9" x14ac:dyDescent="0.25">
      <c r="A334" s="5" t="s">
        <v>1918</v>
      </c>
      <c r="B334" s="5" t="s">
        <v>1546</v>
      </c>
      <c r="C334" s="5" t="s">
        <v>170</v>
      </c>
      <c r="D334" s="6">
        <v>46129</v>
      </c>
      <c r="E334" s="5">
        <v>11868.83</v>
      </c>
      <c r="F334" s="5" t="s">
        <v>1579</v>
      </c>
      <c r="H334" s="5" t="s">
        <v>1586</v>
      </c>
      <c r="I334" s="5">
        <v>2</v>
      </c>
    </row>
    <row r="335" spans="1:9" x14ac:dyDescent="0.25">
      <c r="A335" s="5" t="s">
        <v>1919</v>
      </c>
      <c r="B335" s="5" t="s">
        <v>40</v>
      </c>
      <c r="C335" s="5" t="s">
        <v>41</v>
      </c>
      <c r="D335" s="6">
        <v>46260</v>
      </c>
      <c r="E335" s="5">
        <v>14945.7</v>
      </c>
      <c r="F335" s="5" t="s">
        <v>1579</v>
      </c>
      <c r="H335" s="5" t="s">
        <v>1582</v>
      </c>
      <c r="I335" s="5">
        <v>3</v>
      </c>
    </row>
    <row r="336" spans="1:9" x14ac:dyDescent="0.25">
      <c r="A336" s="5" t="s">
        <v>1920</v>
      </c>
      <c r="B336" s="5" t="s">
        <v>1561</v>
      </c>
      <c r="C336" s="5" t="s">
        <v>102</v>
      </c>
      <c r="D336" s="6">
        <v>46107</v>
      </c>
      <c r="E336" s="5">
        <v>16919.29</v>
      </c>
      <c r="F336" s="5" t="s">
        <v>1579</v>
      </c>
      <c r="H336" s="5" t="s">
        <v>1582</v>
      </c>
      <c r="I336" s="5">
        <v>1</v>
      </c>
    </row>
    <row r="337" spans="1:9" x14ac:dyDescent="0.25">
      <c r="A337" s="5" t="s">
        <v>1921</v>
      </c>
      <c r="B337" s="5" t="s">
        <v>800</v>
      </c>
      <c r="C337" s="5" t="s">
        <v>122</v>
      </c>
      <c r="D337" s="6">
        <v>46273</v>
      </c>
      <c r="E337" s="5">
        <v>22878.76</v>
      </c>
      <c r="F337" s="5" t="s">
        <v>1579</v>
      </c>
      <c r="H337" s="5" t="s">
        <v>1586</v>
      </c>
      <c r="I337" s="5">
        <v>2</v>
      </c>
    </row>
    <row r="338" spans="1:9" x14ac:dyDescent="0.25">
      <c r="A338" s="5" t="s">
        <v>1922</v>
      </c>
      <c r="B338" s="5" t="s">
        <v>1022</v>
      </c>
      <c r="C338" s="5" t="s">
        <v>57</v>
      </c>
      <c r="D338" s="6">
        <v>46289</v>
      </c>
      <c r="E338" s="5">
        <v>7944.85</v>
      </c>
      <c r="F338" s="5" t="s">
        <v>1579</v>
      </c>
      <c r="H338" s="5" t="s">
        <v>1582</v>
      </c>
      <c r="I338" s="5">
        <v>1</v>
      </c>
    </row>
    <row r="339" spans="1:9" x14ac:dyDescent="0.25">
      <c r="A339" s="5" t="s">
        <v>1923</v>
      </c>
      <c r="B339" s="5" t="s">
        <v>308</v>
      </c>
      <c r="C339" s="5" t="s">
        <v>26</v>
      </c>
      <c r="D339" s="6">
        <v>46219</v>
      </c>
      <c r="E339" s="5">
        <v>8163.05</v>
      </c>
      <c r="F339" s="5" t="s">
        <v>1579</v>
      </c>
      <c r="H339" s="5" t="s">
        <v>1575</v>
      </c>
      <c r="I339" s="5">
        <v>1</v>
      </c>
    </row>
    <row r="340" spans="1:9" x14ac:dyDescent="0.25">
      <c r="A340" s="5" t="s">
        <v>1924</v>
      </c>
      <c r="B340" s="5" t="s">
        <v>125</v>
      </c>
      <c r="C340" s="5" t="s">
        <v>75</v>
      </c>
      <c r="D340" s="6">
        <v>46214</v>
      </c>
      <c r="E340" s="5">
        <v>22644.77</v>
      </c>
      <c r="F340" s="5" t="s">
        <v>1579</v>
      </c>
      <c r="H340" s="5" t="s">
        <v>1582</v>
      </c>
      <c r="I340" s="5">
        <v>1</v>
      </c>
    </row>
    <row r="341" spans="1:9" x14ac:dyDescent="0.25">
      <c r="A341" s="5" t="s">
        <v>1925</v>
      </c>
      <c r="B341" s="5" t="s">
        <v>956</v>
      </c>
      <c r="C341" s="5" t="s">
        <v>71</v>
      </c>
      <c r="E341" s="5">
        <v>0</v>
      </c>
      <c r="F341" s="5" t="s">
        <v>1573</v>
      </c>
      <c r="G341" s="5" t="s">
        <v>1574</v>
      </c>
      <c r="H341" s="5" t="s">
        <v>1586</v>
      </c>
      <c r="I341" s="5">
        <v>2</v>
      </c>
    </row>
    <row r="342" spans="1:9" x14ac:dyDescent="0.25">
      <c r="A342" s="5" t="s">
        <v>1926</v>
      </c>
      <c r="B342" s="5" t="s">
        <v>1559</v>
      </c>
      <c r="C342" s="5" t="s">
        <v>53</v>
      </c>
      <c r="D342" s="6">
        <v>46342</v>
      </c>
      <c r="E342" s="5">
        <v>18911</v>
      </c>
      <c r="F342" s="5" t="s">
        <v>1579</v>
      </c>
      <c r="H342" s="5" t="s">
        <v>1586</v>
      </c>
      <c r="I342" s="5">
        <v>1</v>
      </c>
    </row>
    <row r="343" spans="1:9" x14ac:dyDescent="0.25">
      <c r="A343" s="5" t="s">
        <v>1927</v>
      </c>
      <c r="B343" s="5" t="s">
        <v>1466</v>
      </c>
      <c r="C343" s="5" t="s">
        <v>122</v>
      </c>
      <c r="D343" s="6">
        <v>46060</v>
      </c>
      <c r="E343" s="5">
        <v>11545.52</v>
      </c>
      <c r="F343" s="5" t="s">
        <v>1579</v>
      </c>
      <c r="H343" s="5" t="s">
        <v>1575</v>
      </c>
      <c r="I343" s="5">
        <v>1</v>
      </c>
    </row>
    <row r="344" spans="1:9" x14ac:dyDescent="0.25">
      <c r="A344" s="5" t="s">
        <v>1928</v>
      </c>
      <c r="B344" s="5" t="s">
        <v>1560</v>
      </c>
      <c r="C344" s="5" t="s">
        <v>122</v>
      </c>
      <c r="D344" s="6">
        <v>46050</v>
      </c>
      <c r="E344" s="5">
        <v>7018.6</v>
      </c>
      <c r="F344" s="5" t="s">
        <v>1579</v>
      </c>
      <c r="H344" s="5" t="s">
        <v>1586</v>
      </c>
      <c r="I344" s="5">
        <v>1</v>
      </c>
    </row>
    <row r="345" spans="1:9" x14ac:dyDescent="0.25">
      <c r="A345" s="5" t="s">
        <v>1929</v>
      </c>
      <c r="B345" s="5" t="s">
        <v>1142</v>
      </c>
      <c r="C345" s="5" t="s">
        <v>12</v>
      </c>
      <c r="D345" s="6">
        <v>46165</v>
      </c>
      <c r="E345" s="5">
        <v>14861.89</v>
      </c>
      <c r="F345" s="5" t="s">
        <v>1579</v>
      </c>
      <c r="H345" s="5" t="s">
        <v>1582</v>
      </c>
      <c r="I345" s="5">
        <v>1</v>
      </c>
    </row>
    <row r="346" spans="1:9" x14ac:dyDescent="0.25">
      <c r="A346" s="5" t="s">
        <v>1930</v>
      </c>
      <c r="B346" s="5" t="s">
        <v>1151</v>
      </c>
      <c r="C346" s="5" t="s">
        <v>12</v>
      </c>
      <c r="D346" s="6">
        <v>46197</v>
      </c>
      <c r="E346" s="5">
        <v>1601.75</v>
      </c>
      <c r="F346" s="5" t="s">
        <v>1579</v>
      </c>
      <c r="H346" s="5" t="s">
        <v>1575</v>
      </c>
      <c r="I346" s="5">
        <v>1</v>
      </c>
    </row>
    <row r="347" spans="1:9" x14ac:dyDescent="0.25">
      <c r="A347" s="5" t="s">
        <v>1931</v>
      </c>
      <c r="B347" s="5" t="s">
        <v>629</v>
      </c>
      <c r="C347" s="5" t="s">
        <v>12</v>
      </c>
      <c r="D347" s="6">
        <v>46179</v>
      </c>
      <c r="E347" s="5">
        <v>8147.8</v>
      </c>
      <c r="F347" s="5" t="s">
        <v>1579</v>
      </c>
      <c r="H347" s="5" t="s">
        <v>1586</v>
      </c>
      <c r="I347" s="5">
        <v>1</v>
      </c>
    </row>
    <row r="348" spans="1:9" x14ac:dyDescent="0.25">
      <c r="A348" s="5" t="s">
        <v>1932</v>
      </c>
      <c r="B348" s="5" t="s">
        <v>1508</v>
      </c>
      <c r="C348" s="5" t="s">
        <v>138</v>
      </c>
      <c r="D348" s="6">
        <v>46087</v>
      </c>
      <c r="E348" s="5">
        <v>22748.91</v>
      </c>
      <c r="F348" s="5" t="s">
        <v>1579</v>
      </c>
      <c r="H348" s="5" t="s">
        <v>1582</v>
      </c>
      <c r="I348" s="5">
        <v>2</v>
      </c>
    </row>
    <row r="349" spans="1:9" x14ac:dyDescent="0.25">
      <c r="A349" s="5" t="s">
        <v>1933</v>
      </c>
      <c r="B349" s="5" t="s">
        <v>974</v>
      </c>
      <c r="C349" s="5" t="s">
        <v>170</v>
      </c>
      <c r="D349" s="6">
        <v>46276</v>
      </c>
      <c r="E349" s="5">
        <v>21542.89</v>
      </c>
      <c r="F349" s="5" t="s">
        <v>1579</v>
      </c>
      <c r="H349" s="5" t="s">
        <v>1575</v>
      </c>
      <c r="I349" s="5">
        <v>1</v>
      </c>
    </row>
    <row r="350" spans="1:9" x14ac:dyDescent="0.25">
      <c r="A350" s="5" t="s">
        <v>1934</v>
      </c>
      <c r="B350" s="5" t="s">
        <v>159</v>
      </c>
      <c r="C350" s="5" t="s">
        <v>53</v>
      </c>
      <c r="D350" s="6">
        <v>46251</v>
      </c>
      <c r="E350" s="5">
        <v>10850.68</v>
      </c>
      <c r="F350" s="5" t="s">
        <v>1579</v>
      </c>
      <c r="H350" s="5" t="s">
        <v>1575</v>
      </c>
      <c r="I350" s="5">
        <v>1</v>
      </c>
    </row>
    <row r="351" spans="1:9" x14ac:dyDescent="0.25">
      <c r="A351" s="5" t="s">
        <v>1935</v>
      </c>
      <c r="B351" s="5" t="s">
        <v>1214</v>
      </c>
      <c r="C351" s="5" t="s">
        <v>89</v>
      </c>
      <c r="E351" s="5">
        <v>0</v>
      </c>
      <c r="F351" s="5" t="s">
        <v>1597</v>
      </c>
      <c r="G351" s="5" t="s">
        <v>1641</v>
      </c>
      <c r="H351" s="5" t="s">
        <v>1582</v>
      </c>
      <c r="I351" s="5">
        <v>1</v>
      </c>
    </row>
    <row r="352" spans="1:9" x14ac:dyDescent="0.25">
      <c r="A352" s="5" t="s">
        <v>1936</v>
      </c>
      <c r="B352" s="5" t="s">
        <v>380</v>
      </c>
      <c r="C352" s="5" t="s">
        <v>36</v>
      </c>
      <c r="D352" s="6">
        <v>46301</v>
      </c>
      <c r="E352" s="5">
        <v>22847.56</v>
      </c>
      <c r="F352" s="5" t="s">
        <v>1579</v>
      </c>
      <c r="H352" s="5" t="s">
        <v>1575</v>
      </c>
      <c r="I352" s="5">
        <v>1</v>
      </c>
    </row>
    <row r="353" spans="1:9" x14ac:dyDescent="0.25">
      <c r="A353" s="5" t="s">
        <v>1937</v>
      </c>
      <c r="B353" s="5" t="s">
        <v>443</v>
      </c>
      <c r="C353" s="5" t="s">
        <v>32</v>
      </c>
      <c r="D353" s="6">
        <v>46224</v>
      </c>
      <c r="E353" s="5">
        <v>16789.93</v>
      </c>
      <c r="F353" s="5" t="s">
        <v>1579</v>
      </c>
      <c r="H353" s="5" t="s">
        <v>1582</v>
      </c>
      <c r="I353" s="5">
        <v>1</v>
      </c>
    </row>
    <row r="354" spans="1:9" x14ac:dyDescent="0.25">
      <c r="A354" s="5" t="s">
        <v>1938</v>
      </c>
      <c r="B354" s="5" t="s">
        <v>134</v>
      </c>
      <c r="C354" s="5" t="s">
        <v>57</v>
      </c>
      <c r="D354" s="6">
        <v>46072</v>
      </c>
      <c r="E354" s="5">
        <v>22485.24</v>
      </c>
      <c r="F354" s="5" t="s">
        <v>1579</v>
      </c>
      <c r="H354" s="5" t="s">
        <v>1575</v>
      </c>
      <c r="I354" s="5">
        <v>1</v>
      </c>
    </row>
    <row r="355" spans="1:9" x14ac:dyDescent="0.25">
      <c r="A355" s="5" t="s">
        <v>1939</v>
      </c>
      <c r="B355" s="5" t="s">
        <v>176</v>
      </c>
      <c r="C355" s="5" t="s">
        <v>163</v>
      </c>
      <c r="E355" s="5">
        <v>0</v>
      </c>
      <c r="F355" s="5" t="s">
        <v>1597</v>
      </c>
      <c r="G355" s="5" t="s">
        <v>1574</v>
      </c>
      <c r="H355" s="5" t="s">
        <v>1586</v>
      </c>
      <c r="I355" s="5">
        <v>1</v>
      </c>
    </row>
    <row r="356" spans="1:9" x14ac:dyDescent="0.25">
      <c r="A356" s="5" t="s">
        <v>1940</v>
      </c>
      <c r="B356" s="5" t="s">
        <v>707</v>
      </c>
      <c r="C356" s="5" t="s">
        <v>41</v>
      </c>
      <c r="D356" s="6">
        <v>46215</v>
      </c>
      <c r="E356" s="5">
        <v>23870.67</v>
      </c>
      <c r="F356" s="5" t="s">
        <v>1579</v>
      </c>
      <c r="H356" s="5" t="s">
        <v>1575</v>
      </c>
      <c r="I356" s="5">
        <v>1</v>
      </c>
    </row>
    <row r="357" spans="1:9" x14ac:dyDescent="0.25">
      <c r="A357" s="5" t="s">
        <v>1941</v>
      </c>
      <c r="B357" s="5" t="s">
        <v>1511</v>
      </c>
      <c r="C357" s="5" t="s">
        <v>102</v>
      </c>
      <c r="D357" s="6">
        <v>46131</v>
      </c>
      <c r="E357" s="5">
        <v>22315.58</v>
      </c>
      <c r="F357" s="5" t="s">
        <v>1579</v>
      </c>
      <c r="H357" s="5" t="s">
        <v>1586</v>
      </c>
      <c r="I357" s="5">
        <v>2</v>
      </c>
    </row>
    <row r="358" spans="1:9" x14ac:dyDescent="0.25">
      <c r="A358" s="5" t="s">
        <v>1942</v>
      </c>
      <c r="B358" s="5" t="s">
        <v>764</v>
      </c>
      <c r="C358" s="5" t="s">
        <v>71</v>
      </c>
      <c r="D358" s="6">
        <v>46284</v>
      </c>
      <c r="E358" s="5">
        <v>32626.55</v>
      </c>
      <c r="F358" s="5" t="s">
        <v>1579</v>
      </c>
      <c r="H358" s="5" t="s">
        <v>1582</v>
      </c>
      <c r="I358" s="5">
        <v>1</v>
      </c>
    </row>
    <row r="359" spans="1:9" x14ac:dyDescent="0.25">
      <c r="A359" s="5" t="s">
        <v>1943</v>
      </c>
      <c r="B359" s="5" t="s">
        <v>263</v>
      </c>
      <c r="C359" s="5" t="s">
        <v>53</v>
      </c>
      <c r="D359" s="6">
        <v>46218</v>
      </c>
      <c r="E359" s="5">
        <v>5779.78</v>
      </c>
      <c r="F359" s="5" t="s">
        <v>1579</v>
      </c>
      <c r="H359" s="5" t="s">
        <v>1582</v>
      </c>
      <c r="I359" s="5">
        <v>2</v>
      </c>
    </row>
    <row r="360" spans="1:9" x14ac:dyDescent="0.25">
      <c r="A360" s="5" t="s">
        <v>1944</v>
      </c>
      <c r="B360" s="5" t="s">
        <v>179</v>
      </c>
      <c r="C360" s="5" t="s">
        <v>112</v>
      </c>
      <c r="D360" s="6">
        <v>46296</v>
      </c>
      <c r="E360" s="5">
        <v>22167.09</v>
      </c>
      <c r="F360" s="5" t="s">
        <v>1579</v>
      </c>
      <c r="H360" s="5" t="s">
        <v>1575</v>
      </c>
      <c r="I360" s="5">
        <v>3</v>
      </c>
    </row>
    <row r="361" spans="1:9" x14ac:dyDescent="0.25">
      <c r="A361" s="5" t="s">
        <v>1945</v>
      </c>
      <c r="B361" s="5" t="s">
        <v>1334</v>
      </c>
      <c r="C361" s="5" t="s">
        <v>36</v>
      </c>
      <c r="E361" s="5">
        <v>0</v>
      </c>
      <c r="F361" s="5" t="s">
        <v>1597</v>
      </c>
      <c r="G361" s="5" t="s">
        <v>1574</v>
      </c>
      <c r="H361" s="5" t="s">
        <v>1586</v>
      </c>
      <c r="I361" s="5">
        <v>2</v>
      </c>
    </row>
    <row r="362" spans="1:9" x14ac:dyDescent="0.25">
      <c r="A362" s="5" t="s">
        <v>1946</v>
      </c>
      <c r="B362" s="5" t="s">
        <v>1016</v>
      </c>
      <c r="C362" s="5" t="s">
        <v>122</v>
      </c>
      <c r="E362" s="5">
        <v>0</v>
      </c>
      <c r="F362" s="5" t="s">
        <v>1573</v>
      </c>
      <c r="G362" s="5" t="s">
        <v>1678</v>
      </c>
      <c r="H362" s="5" t="s">
        <v>1575</v>
      </c>
      <c r="I362" s="5">
        <v>2</v>
      </c>
    </row>
    <row r="363" spans="1:9" x14ac:dyDescent="0.25">
      <c r="A363" s="5" t="s">
        <v>1947</v>
      </c>
      <c r="B363" s="5" t="s">
        <v>638</v>
      </c>
      <c r="C363" s="5" t="s">
        <v>102</v>
      </c>
      <c r="D363" s="6">
        <v>46062</v>
      </c>
      <c r="E363" s="5">
        <v>23719.85</v>
      </c>
      <c r="F363" s="5" t="s">
        <v>1579</v>
      </c>
      <c r="H363" s="5" t="s">
        <v>1586</v>
      </c>
      <c r="I363" s="5">
        <v>1</v>
      </c>
    </row>
    <row r="364" spans="1:9" x14ac:dyDescent="0.25">
      <c r="A364" s="5" t="s">
        <v>1948</v>
      </c>
      <c r="B364" s="5" t="s">
        <v>1163</v>
      </c>
      <c r="C364" s="5" t="s">
        <v>170</v>
      </c>
      <c r="D364" s="6">
        <v>46270</v>
      </c>
      <c r="E364" s="5">
        <v>21286.83</v>
      </c>
      <c r="F364" s="5" t="s">
        <v>1579</v>
      </c>
      <c r="H364" s="5" t="s">
        <v>1586</v>
      </c>
      <c r="I364" s="5">
        <v>2</v>
      </c>
    </row>
    <row r="365" spans="1:9" x14ac:dyDescent="0.25">
      <c r="A365" s="5" t="s">
        <v>1949</v>
      </c>
      <c r="B365" s="5" t="s">
        <v>115</v>
      </c>
      <c r="C365" s="5" t="s">
        <v>57</v>
      </c>
      <c r="D365" s="6">
        <v>46173</v>
      </c>
      <c r="E365" s="5">
        <v>4044.74</v>
      </c>
      <c r="F365" s="5" t="s">
        <v>1579</v>
      </c>
      <c r="H365" s="5" t="s">
        <v>1582</v>
      </c>
      <c r="I365" s="5">
        <v>1</v>
      </c>
    </row>
    <row r="366" spans="1:9" x14ac:dyDescent="0.25">
      <c r="A366" s="5" t="s">
        <v>1950</v>
      </c>
      <c r="B366" s="5" t="s">
        <v>1190</v>
      </c>
      <c r="C366" s="5" t="s">
        <v>41</v>
      </c>
      <c r="D366" s="6">
        <v>46368</v>
      </c>
      <c r="E366" s="5">
        <v>21015.58</v>
      </c>
      <c r="F366" s="5" t="s">
        <v>1579</v>
      </c>
      <c r="H366" s="5" t="s">
        <v>1575</v>
      </c>
      <c r="I366" s="5">
        <v>1</v>
      </c>
    </row>
    <row r="367" spans="1:9" x14ac:dyDescent="0.25">
      <c r="A367" s="5" t="s">
        <v>1951</v>
      </c>
      <c r="B367" s="5" t="s">
        <v>1541</v>
      </c>
      <c r="C367" s="5" t="s">
        <v>12</v>
      </c>
      <c r="E367" s="5">
        <v>0</v>
      </c>
      <c r="F367" s="5" t="s">
        <v>1573</v>
      </c>
      <c r="G367" s="5" t="s">
        <v>1667</v>
      </c>
      <c r="H367" s="5" t="s">
        <v>1586</v>
      </c>
      <c r="I367" s="5">
        <v>2</v>
      </c>
    </row>
    <row r="368" spans="1:9" x14ac:dyDescent="0.25">
      <c r="A368" s="5" t="s">
        <v>1952</v>
      </c>
      <c r="B368" s="5" t="s">
        <v>1385</v>
      </c>
      <c r="C368" s="5" t="s">
        <v>32</v>
      </c>
      <c r="D368" s="6">
        <v>46333</v>
      </c>
      <c r="E368" s="5">
        <v>9422.39</v>
      </c>
      <c r="F368" s="5" t="s">
        <v>1579</v>
      </c>
      <c r="H368" s="5" t="s">
        <v>1575</v>
      </c>
      <c r="I368" s="5">
        <v>1</v>
      </c>
    </row>
    <row r="369" spans="1:9" x14ac:dyDescent="0.25">
      <c r="A369" s="5" t="s">
        <v>1953</v>
      </c>
      <c r="B369" s="5" t="s">
        <v>1514</v>
      </c>
      <c r="C369" s="5" t="s">
        <v>53</v>
      </c>
      <c r="D369" s="6">
        <v>46049</v>
      </c>
      <c r="E369" s="5">
        <v>13843.66</v>
      </c>
      <c r="F369" s="5" t="s">
        <v>1579</v>
      </c>
      <c r="H369" s="5" t="s">
        <v>1586</v>
      </c>
      <c r="I369" s="5">
        <v>1</v>
      </c>
    </row>
    <row r="370" spans="1:9" x14ac:dyDescent="0.25">
      <c r="A370" s="5" t="s">
        <v>1954</v>
      </c>
      <c r="B370" s="5" t="s">
        <v>884</v>
      </c>
      <c r="C370" s="5" t="s">
        <v>170</v>
      </c>
      <c r="D370" s="6">
        <v>46354</v>
      </c>
      <c r="E370" s="5">
        <v>4339.22</v>
      </c>
      <c r="F370" s="5" t="s">
        <v>1579</v>
      </c>
      <c r="H370" s="5" t="s">
        <v>1586</v>
      </c>
      <c r="I370" s="5">
        <v>1</v>
      </c>
    </row>
    <row r="371" spans="1:9" x14ac:dyDescent="0.25">
      <c r="A371" s="5" t="s">
        <v>1955</v>
      </c>
      <c r="B371" s="5" t="s">
        <v>560</v>
      </c>
      <c r="C371" s="5" t="s">
        <v>32</v>
      </c>
      <c r="E371" s="5">
        <v>0</v>
      </c>
      <c r="F371" s="5" t="s">
        <v>1573</v>
      </c>
      <c r="G371" s="5" t="s">
        <v>1678</v>
      </c>
      <c r="H371" s="5" t="s">
        <v>1586</v>
      </c>
      <c r="I371" s="5">
        <v>1</v>
      </c>
    </row>
    <row r="372" spans="1:9" x14ac:dyDescent="0.25">
      <c r="A372" s="5" t="s">
        <v>1956</v>
      </c>
      <c r="B372" s="5" t="s">
        <v>656</v>
      </c>
      <c r="C372" s="5" t="s">
        <v>53</v>
      </c>
      <c r="D372" s="6">
        <v>46124</v>
      </c>
      <c r="E372" s="5">
        <v>12516.85</v>
      </c>
      <c r="F372" s="5" t="s">
        <v>1579</v>
      </c>
      <c r="H372" s="5" t="s">
        <v>1582</v>
      </c>
      <c r="I372" s="5">
        <v>1</v>
      </c>
    </row>
    <row r="373" spans="1:9" x14ac:dyDescent="0.25">
      <c r="A373" s="5" t="s">
        <v>1957</v>
      </c>
      <c r="B373" s="5" t="s">
        <v>821</v>
      </c>
      <c r="C373" s="5" t="s">
        <v>71</v>
      </c>
      <c r="E373" s="5">
        <v>0</v>
      </c>
      <c r="F373" s="5" t="s">
        <v>1573</v>
      </c>
      <c r="G373" s="5" t="s">
        <v>1598</v>
      </c>
      <c r="H373" s="5" t="s">
        <v>1575</v>
      </c>
      <c r="I373" s="5">
        <v>1</v>
      </c>
    </row>
    <row r="374" spans="1:9" x14ac:dyDescent="0.25">
      <c r="A374" s="5" t="s">
        <v>1958</v>
      </c>
      <c r="B374" s="5" t="s">
        <v>368</v>
      </c>
      <c r="C374" s="5" t="s">
        <v>41</v>
      </c>
      <c r="D374" s="6">
        <v>46228</v>
      </c>
      <c r="E374" s="5">
        <v>321.48</v>
      </c>
      <c r="F374" s="5" t="s">
        <v>1579</v>
      </c>
      <c r="H374" s="5" t="s">
        <v>1575</v>
      </c>
      <c r="I374" s="5">
        <v>2</v>
      </c>
    </row>
    <row r="375" spans="1:9" x14ac:dyDescent="0.25">
      <c r="A375" s="5" t="s">
        <v>1959</v>
      </c>
      <c r="B375" s="5" t="s">
        <v>194</v>
      </c>
      <c r="C375" s="5" t="s">
        <v>20</v>
      </c>
      <c r="D375" s="6">
        <v>46169</v>
      </c>
      <c r="E375" s="5">
        <v>8475.89</v>
      </c>
      <c r="F375" s="5" t="s">
        <v>1579</v>
      </c>
      <c r="H375" s="5" t="s">
        <v>1582</v>
      </c>
      <c r="I375" s="5">
        <v>1</v>
      </c>
    </row>
    <row r="376" spans="1:9" x14ac:dyDescent="0.25">
      <c r="A376" s="5" t="s">
        <v>1960</v>
      </c>
      <c r="B376" s="5" t="s">
        <v>287</v>
      </c>
      <c r="C376" s="5" t="s">
        <v>170</v>
      </c>
      <c r="D376" s="6">
        <v>46146</v>
      </c>
      <c r="E376" s="5">
        <v>10697.46</v>
      </c>
      <c r="F376" s="5" t="s">
        <v>1579</v>
      </c>
      <c r="H376" s="5" t="s">
        <v>1582</v>
      </c>
      <c r="I376" s="5">
        <v>1</v>
      </c>
    </row>
    <row r="377" spans="1:9" x14ac:dyDescent="0.25">
      <c r="A377" s="5" t="s">
        <v>1961</v>
      </c>
      <c r="B377" s="5" t="s">
        <v>1115</v>
      </c>
      <c r="C377" s="5" t="s">
        <v>71</v>
      </c>
      <c r="D377" s="6">
        <v>46106</v>
      </c>
      <c r="E377" s="5">
        <v>5040.03</v>
      </c>
      <c r="F377" s="5" t="s">
        <v>1579</v>
      </c>
      <c r="H377" s="5" t="s">
        <v>1586</v>
      </c>
      <c r="I377" s="5">
        <v>1</v>
      </c>
    </row>
    <row r="378" spans="1:9" x14ac:dyDescent="0.25">
      <c r="A378" s="5" t="s">
        <v>1962</v>
      </c>
      <c r="B378" s="5" t="s">
        <v>725</v>
      </c>
      <c r="C378" s="5" t="s">
        <v>41</v>
      </c>
      <c r="D378" s="6">
        <v>46346</v>
      </c>
      <c r="E378" s="5">
        <v>4755.43</v>
      </c>
      <c r="F378" s="5" t="s">
        <v>1579</v>
      </c>
      <c r="H378" s="5" t="s">
        <v>1586</v>
      </c>
      <c r="I378" s="5">
        <v>2</v>
      </c>
    </row>
    <row r="379" spans="1:9" x14ac:dyDescent="0.25">
      <c r="A379" s="5" t="s">
        <v>1963</v>
      </c>
      <c r="B379" s="5" t="s">
        <v>1421</v>
      </c>
      <c r="C379" s="5" t="s">
        <v>32</v>
      </c>
      <c r="D379" s="6">
        <v>46113</v>
      </c>
      <c r="E379" s="5">
        <v>8591.82</v>
      </c>
      <c r="F379" s="5" t="s">
        <v>1579</v>
      </c>
      <c r="H379" s="5" t="s">
        <v>1582</v>
      </c>
      <c r="I379" s="5">
        <v>2</v>
      </c>
    </row>
    <row r="380" spans="1:9" x14ac:dyDescent="0.25">
      <c r="A380" s="5" t="s">
        <v>1964</v>
      </c>
      <c r="B380" s="5" t="s">
        <v>1313</v>
      </c>
      <c r="C380" s="5" t="s">
        <v>45</v>
      </c>
      <c r="E380" s="5">
        <v>0</v>
      </c>
      <c r="F380" s="5" t="s">
        <v>1597</v>
      </c>
      <c r="G380" s="5" t="s">
        <v>1574</v>
      </c>
      <c r="H380" s="5" t="s">
        <v>1582</v>
      </c>
      <c r="I380" s="5">
        <v>1</v>
      </c>
    </row>
    <row r="381" spans="1:9" x14ac:dyDescent="0.25">
      <c r="A381" s="5" t="s">
        <v>1965</v>
      </c>
      <c r="B381" s="5" t="s">
        <v>1481</v>
      </c>
      <c r="C381" s="5" t="s">
        <v>163</v>
      </c>
      <c r="D381" s="6">
        <v>46146</v>
      </c>
      <c r="E381" s="5">
        <v>4521.3900000000003</v>
      </c>
      <c r="F381" s="5" t="s">
        <v>1579</v>
      </c>
      <c r="H381" s="5" t="s">
        <v>1586</v>
      </c>
      <c r="I381" s="5">
        <v>1</v>
      </c>
    </row>
    <row r="382" spans="1:9" x14ac:dyDescent="0.25">
      <c r="A382" s="5" t="s">
        <v>1966</v>
      </c>
      <c r="B382" s="5" t="s">
        <v>1553</v>
      </c>
      <c r="C382" s="5" t="s">
        <v>170</v>
      </c>
      <c r="D382" s="6">
        <v>46244</v>
      </c>
      <c r="E382" s="5">
        <v>16016.79</v>
      </c>
      <c r="F382" s="5" t="s">
        <v>1579</v>
      </c>
      <c r="H382" s="5" t="s">
        <v>1582</v>
      </c>
      <c r="I382" s="5">
        <v>1</v>
      </c>
    </row>
    <row r="383" spans="1:9" x14ac:dyDescent="0.25">
      <c r="A383" s="5" t="s">
        <v>1967</v>
      </c>
      <c r="B383" s="5" t="s">
        <v>1169</v>
      </c>
      <c r="C383" s="5" t="s">
        <v>102</v>
      </c>
      <c r="E383" s="5">
        <v>0</v>
      </c>
      <c r="F383" s="5" t="s">
        <v>1573</v>
      </c>
      <c r="G383" s="5" t="s">
        <v>1603</v>
      </c>
      <c r="H383" s="5" t="s">
        <v>1586</v>
      </c>
      <c r="I383" s="5">
        <v>1</v>
      </c>
    </row>
    <row r="384" spans="1:9" x14ac:dyDescent="0.25">
      <c r="A384" s="5" t="s">
        <v>1968</v>
      </c>
      <c r="B384" s="5" t="s">
        <v>1238</v>
      </c>
      <c r="C384" s="5" t="s">
        <v>75</v>
      </c>
      <c r="D384" s="6">
        <v>46359</v>
      </c>
      <c r="E384" s="5">
        <v>21695.66</v>
      </c>
      <c r="F384" s="5" t="s">
        <v>1579</v>
      </c>
      <c r="H384" s="5" t="s">
        <v>1575</v>
      </c>
      <c r="I384" s="5">
        <v>1</v>
      </c>
    </row>
    <row r="385" spans="1:9" x14ac:dyDescent="0.25">
      <c r="A385" s="5" t="s">
        <v>1969</v>
      </c>
      <c r="B385" s="5" t="s">
        <v>1124</v>
      </c>
      <c r="C385" s="5" t="s">
        <v>138</v>
      </c>
      <c r="D385" s="6">
        <v>46206</v>
      </c>
      <c r="E385" s="5">
        <v>16224.29</v>
      </c>
      <c r="F385" s="5" t="s">
        <v>1579</v>
      </c>
      <c r="H385" s="5" t="s">
        <v>1582</v>
      </c>
      <c r="I385" s="5">
        <v>2</v>
      </c>
    </row>
    <row r="386" spans="1:9" x14ac:dyDescent="0.25">
      <c r="A386" s="5" t="s">
        <v>1970</v>
      </c>
      <c r="B386" s="5" t="s">
        <v>569</v>
      </c>
      <c r="C386" s="5" t="s">
        <v>71</v>
      </c>
      <c r="D386" s="6">
        <v>46212</v>
      </c>
      <c r="E386" s="5">
        <v>19738.38</v>
      </c>
      <c r="F386" s="5" t="s">
        <v>1579</v>
      </c>
      <c r="H386" s="5" t="s">
        <v>1582</v>
      </c>
      <c r="I386" s="5">
        <v>1</v>
      </c>
    </row>
    <row r="387" spans="1:9" x14ac:dyDescent="0.25">
      <c r="A387" s="5" t="s">
        <v>1971</v>
      </c>
      <c r="B387" s="5" t="s">
        <v>1319</v>
      </c>
      <c r="C387" s="5" t="s">
        <v>45</v>
      </c>
      <c r="D387" s="6">
        <v>46364</v>
      </c>
      <c r="E387" s="5">
        <v>6408.13</v>
      </c>
      <c r="F387" s="5" t="s">
        <v>1579</v>
      </c>
      <c r="H387" s="5" t="s">
        <v>1575</v>
      </c>
      <c r="I387" s="5">
        <v>1</v>
      </c>
    </row>
    <row r="388" spans="1:9" x14ac:dyDescent="0.25">
      <c r="A388" s="5" t="s">
        <v>1972</v>
      </c>
      <c r="B388" s="5" t="s">
        <v>512</v>
      </c>
      <c r="C388" s="5" t="s">
        <v>26</v>
      </c>
      <c r="E388" s="5">
        <v>0</v>
      </c>
      <c r="F388" s="5" t="s">
        <v>1573</v>
      </c>
      <c r="G388" s="5" t="s">
        <v>1577</v>
      </c>
      <c r="H388" s="5" t="s">
        <v>1575</v>
      </c>
      <c r="I388" s="5">
        <v>1</v>
      </c>
    </row>
    <row r="389" spans="1:9" x14ac:dyDescent="0.25">
      <c r="A389" s="5" t="s">
        <v>1973</v>
      </c>
      <c r="B389" s="5" t="s">
        <v>1265</v>
      </c>
      <c r="C389" s="5" t="s">
        <v>45</v>
      </c>
      <c r="D389" s="6">
        <v>46290</v>
      </c>
      <c r="E389" s="5">
        <v>1708.27</v>
      </c>
      <c r="F389" s="5" t="s">
        <v>1579</v>
      </c>
      <c r="H389" s="5" t="s">
        <v>1575</v>
      </c>
      <c r="I389" s="5">
        <v>1</v>
      </c>
    </row>
    <row r="390" spans="1:9" x14ac:dyDescent="0.25">
      <c r="A390" s="5" t="s">
        <v>1974</v>
      </c>
      <c r="B390" s="5" t="s">
        <v>1409</v>
      </c>
      <c r="C390" s="5" t="s">
        <v>57</v>
      </c>
      <c r="D390" s="6">
        <v>46111</v>
      </c>
      <c r="E390" s="5">
        <v>24535.63</v>
      </c>
      <c r="F390" s="5" t="s">
        <v>1579</v>
      </c>
      <c r="H390" s="5" t="s">
        <v>1586</v>
      </c>
      <c r="I390" s="5">
        <v>1</v>
      </c>
    </row>
    <row r="391" spans="1:9" x14ac:dyDescent="0.25">
      <c r="A391" s="5" t="s">
        <v>1975</v>
      </c>
      <c r="B391" s="5" t="s">
        <v>893</v>
      </c>
      <c r="C391" s="5" t="s">
        <v>112</v>
      </c>
      <c r="D391" s="6">
        <v>46201</v>
      </c>
      <c r="E391" s="5">
        <v>10833.73</v>
      </c>
      <c r="F391" s="5" t="s">
        <v>1579</v>
      </c>
      <c r="H391" s="5" t="s">
        <v>1582</v>
      </c>
      <c r="I391" s="5">
        <v>2</v>
      </c>
    </row>
    <row r="392" spans="1:9" x14ac:dyDescent="0.25">
      <c r="A392" s="5" t="s">
        <v>1976</v>
      </c>
      <c r="B392" s="5" t="s">
        <v>899</v>
      </c>
      <c r="C392" s="5" t="s">
        <v>20</v>
      </c>
      <c r="D392" s="6">
        <v>46259</v>
      </c>
      <c r="E392" s="5">
        <v>9476.26</v>
      </c>
      <c r="F392" s="5" t="s">
        <v>1579</v>
      </c>
      <c r="H392" s="5" t="s">
        <v>1575</v>
      </c>
      <c r="I392" s="5">
        <v>1</v>
      </c>
    </row>
    <row r="393" spans="1:9" x14ac:dyDescent="0.25">
      <c r="A393" s="5" t="s">
        <v>1977</v>
      </c>
      <c r="B393" s="5" t="s">
        <v>1439</v>
      </c>
      <c r="C393" s="5" t="s">
        <v>122</v>
      </c>
      <c r="D393" s="6">
        <v>46201</v>
      </c>
      <c r="E393" s="5">
        <v>14970.38</v>
      </c>
      <c r="F393" s="5" t="s">
        <v>1579</v>
      </c>
      <c r="H393" s="5" t="s">
        <v>1582</v>
      </c>
      <c r="I393" s="5">
        <v>1</v>
      </c>
    </row>
    <row r="394" spans="1:9" x14ac:dyDescent="0.25">
      <c r="A394" s="5" t="s">
        <v>1978</v>
      </c>
      <c r="B394" s="5" t="s">
        <v>314</v>
      </c>
      <c r="C394" s="5" t="s">
        <v>53</v>
      </c>
      <c r="D394" s="6">
        <v>46190</v>
      </c>
      <c r="E394" s="5">
        <v>13784.58</v>
      </c>
      <c r="F394" s="5" t="s">
        <v>1579</v>
      </c>
      <c r="H394" s="5" t="s">
        <v>1575</v>
      </c>
      <c r="I394" s="5">
        <v>2</v>
      </c>
    </row>
    <row r="395" spans="1:9" x14ac:dyDescent="0.25">
      <c r="A395" s="5" t="s">
        <v>1979</v>
      </c>
      <c r="B395" s="5" t="s">
        <v>782</v>
      </c>
      <c r="C395" s="5" t="s">
        <v>20</v>
      </c>
      <c r="D395" s="6">
        <v>46144</v>
      </c>
      <c r="E395" s="5">
        <v>1794.2</v>
      </c>
      <c r="F395" s="5" t="s">
        <v>1579</v>
      </c>
      <c r="H395" s="5" t="s">
        <v>1586</v>
      </c>
      <c r="I395" s="5">
        <v>2</v>
      </c>
    </row>
    <row r="396" spans="1:9" x14ac:dyDescent="0.25">
      <c r="A396" s="5" t="s">
        <v>1980</v>
      </c>
      <c r="B396" s="5" t="s">
        <v>896</v>
      </c>
      <c r="C396" s="5" t="s">
        <v>53</v>
      </c>
      <c r="E396" s="5">
        <v>0</v>
      </c>
      <c r="F396" s="5" t="s">
        <v>1573</v>
      </c>
      <c r="G396" s="5" t="s">
        <v>1598</v>
      </c>
      <c r="H396" s="5" t="s">
        <v>1582</v>
      </c>
      <c r="I396" s="5">
        <v>1</v>
      </c>
    </row>
    <row r="397" spans="1:9" x14ac:dyDescent="0.25">
      <c r="A397" s="5" t="s">
        <v>1981</v>
      </c>
      <c r="B397" s="5" t="s">
        <v>887</v>
      </c>
      <c r="C397" s="5" t="s">
        <v>12</v>
      </c>
      <c r="D397" s="6">
        <v>46280</v>
      </c>
      <c r="E397" s="5">
        <v>6985.93</v>
      </c>
      <c r="F397" s="5" t="s">
        <v>1579</v>
      </c>
      <c r="H397" s="5" t="s">
        <v>1575</v>
      </c>
      <c r="I397" s="5">
        <v>1</v>
      </c>
    </row>
    <row r="398" spans="1:9" x14ac:dyDescent="0.25">
      <c r="A398" s="5" t="s">
        <v>1982</v>
      </c>
      <c r="B398" s="5" t="s">
        <v>674</v>
      </c>
      <c r="C398" s="5" t="s">
        <v>89</v>
      </c>
      <c r="D398" s="6">
        <v>46048</v>
      </c>
      <c r="E398" s="5">
        <v>3529.46</v>
      </c>
      <c r="F398" s="5" t="s">
        <v>1579</v>
      </c>
      <c r="H398" s="5" t="s">
        <v>1575</v>
      </c>
      <c r="I398" s="5">
        <v>1</v>
      </c>
    </row>
    <row r="399" spans="1:9" x14ac:dyDescent="0.25">
      <c r="A399" s="5" t="s">
        <v>1983</v>
      </c>
      <c r="B399" s="5" t="s">
        <v>353</v>
      </c>
      <c r="C399" s="5" t="s">
        <v>57</v>
      </c>
      <c r="D399" s="6">
        <v>46316</v>
      </c>
      <c r="E399" s="5">
        <v>3741.78</v>
      </c>
      <c r="F399" s="5" t="s">
        <v>1579</v>
      </c>
      <c r="H399" s="5" t="s">
        <v>1586</v>
      </c>
      <c r="I399" s="5">
        <v>3</v>
      </c>
    </row>
    <row r="400" spans="1:9" x14ac:dyDescent="0.25">
      <c r="A400" s="5" t="s">
        <v>1984</v>
      </c>
      <c r="B400" s="5" t="s">
        <v>1199</v>
      </c>
      <c r="C400" s="5" t="s">
        <v>57</v>
      </c>
      <c r="D400" s="6">
        <v>46187</v>
      </c>
      <c r="E400" s="5">
        <v>11210.89</v>
      </c>
      <c r="F400" s="5" t="s">
        <v>1579</v>
      </c>
      <c r="H400" s="5" t="s">
        <v>1575</v>
      </c>
      <c r="I400" s="5">
        <v>1</v>
      </c>
    </row>
    <row r="401" spans="1:9" x14ac:dyDescent="0.25">
      <c r="A401" s="5" t="s">
        <v>1985</v>
      </c>
      <c r="B401" s="5" t="s">
        <v>650</v>
      </c>
      <c r="C401" s="5" t="s">
        <v>45</v>
      </c>
      <c r="D401" s="6">
        <v>46204</v>
      </c>
      <c r="E401" s="5">
        <v>6134.44</v>
      </c>
      <c r="F401" s="5" t="s">
        <v>1579</v>
      </c>
      <c r="H401" s="5" t="s">
        <v>1586</v>
      </c>
      <c r="I401" s="5">
        <v>2</v>
      </c>
    </row>
    <row r="402" spans="1:9" x14ac:dyDescent="0.25">
      <c r="A402" s="5" t="s">
        <v>1986</v>
      </c>
      <c r="B402" s="5" t="s">
        <v>1085</v>
      </c>
      <c r="C402" s="5" t="s">
        <v>75</v>
      </c>
      <c r="E402" s="5">
        <v>0</v>
      </c>
      <c r="F402" s="5" t="s">
        <v>1573</v>
      </c>
      <c r="G402" s="5" t="s">
        <v>1678</v>
      </c>
      <c r="H402" s="5" t="s">
        <v>1586</v>
      </c>
      <c r="I402" s="5">
        <v>1</v>
      </c>
    </row>
    <row r="403" spans="1:9" x14ac:dyDescent="0.25">
      <c r="A403" s="5" t="s">
        <v>1987</v>
      </c>
      <c r="B403" s="5" t="s">
        <v>464</v>
      </c>
      <c r="C403" s="5" t="s">
        <v>85</v>
      </c>
      <c r="D403" s="6">
        <v>46316</v>
      </c>
      <c r="E403" s="5">
        <v>15224.05</v>
      </c>
      <c r="F403" s="5" t="s">
        <v>1579</v>
      </c>
      <c r="H403" s="5" t="s">
        <v>1586</v>
      </c>
      <c r="I403" s="5">
        <v>1</v>
      </c>
    </row>
    <row r="404" spans="1:9" x14ac:dyDescent="0.25">
      <c r="A404" s="5" t="s">
        <v>1988</v>
      </c>
      <c r="B404" s="5" t="s">
        <v>980</v>
      </c>
      <c r="C404" s="5" t="s">
        <v>49</v>
      </c>
      <c r="D404" s="6">
        <v>46337</v>
      </c>
      <c r="E404" s="5">
        <v>24638.95</v>
      </c>
      <c r="F404" s="5" t="s">
        <v>1579</v>
      </c>
      <c r="H404" s="5" t="s">
        <v>1575</v>
      </c>
      <c r="I404" s="5">
        <v>1</v>
      </c>
    </row>
    <row r="405" spans="1:9" x14ac:dyDescent="0.25">
      <c r="A405" s="5" t="s">
        <v>1989</v>
      </c>
      <c r="B405" s="5" t="s">
        <v>602</v>
      </c>
      <c r="C405" s="5" t="s">
        <v>112</v>
      </c>
      <c r="D405" s="6">
        <v>46081</v>
      </c>
      <c r="E405" s="5">
        <v>15551.1</v>
      </c>
      <c r="F405" s="5" t="s">
        <v>1579</v>
      </c>
      <c r="H405" s="5" t="s">
        <v>1582</v>
      </c>
      <c r="I405" s="5">
        <v>1</v>
      </c>
    </row>
    <row r="406" spans="1:9" x14ac:dyDescent="0.25">
      <c r="A406" s="5" t="s">
        <v>1990</v>
      </c>
      <c r="B406" s="5" t="s">
        <v>908</v>
      </c>
      <c r="C406" s="5" t="s">
        <v>41</v>
      </c>
      <c r="D406" s="6">
        <v>46121</v>
      </c>
      <c r="E406" s="5">
        <v>11292.78</v>
      </c>
      <c r="F406" s="5" t="s">
        <v>1579</v>
      </c>
      <c r="H406" s="5" t="s">
        <v>1586</v>
      </c>
      <c r="I406" s="5">
        <v>1</v>
      </c>
    </row>
    <row r="407" spans="1:9" x14ac:dyDescent="0.25">
      <c r="A407" s="5" t="s">
        <v>1991</v>
      </c>
      <c r="B407" s="5" t="s">
        <v>689</v>
      </c>
      <c r="C407" s="5" t="s">
        <v>122</v>
      </c>
      <c r="D407" s="6">
        <v>46176</v>
      </c>
      <c r="E407" s="5">
        <v>905.47</v>
      </c>
      <c r="F407" s="5" t="s">
        <v>1579</v>
      </c>
      <c r="H407" s="5" t="s">
        <v>1586</v>
      </c>
      <c r="I407" s="5">
        <v>2</v>
      </c>
    </row>
    <row r="408" spans="1:9" x14ac:dyDescent="0.25">
      <c r="A408" s="5" t="s">
        <v>1992</v>
      </c>
      <c r="B408" s="5" t="s">
        <v>863</v>
      </c>
      <c r="C408" s="5" t="s">
        <v>122</v>
      </c>
      <c r="E408" s="5">
        <v>0</v>
      </c>
      <c r="F408" s="5" t="s">
        <v>1597</v>
      </c>
      <c r="G408" s="5" t="s">
        <v>1598</v>
      </c>
      <c r="H408" s="5" t="s">
        <v>1586</v>
      </c>
      <c r="I408" s="5">
        <v>1</v>
      </c>
    </row>
    <row r="409" spans="1:9" x14ac:dyDescent="0.25">
      <c r="A409" s="5" t="s">
        <v>1993</v>
      </c>
      <c r="B409" s="5" t="s">
        <v>440</v>
      </c>
      <c r="C409" s="5" t="s">
        <v>102</v>
      </c>
      <c r="D409" s="6">
        <v>46125</v>
      </c>
      <c r="E409" s="5">
        <v>10865.09</v>
      </c>
      <c r="F409" s="5" t="s">
        <v>1579</v>
      </c>
      <c r="H409" s="5" t="s">
        <v>1582</v>
      </c>
      <c r="I409" s="5">
        <v>1</v>
      </c>
    </row>
    <row r="410" spans="1:9" x14ac:dyDescent="0.25">
      <c r="A410" s="5" t="s">
        <v>1994</v>
      </c>
      <c r="B410" s="5" t="s">
        <v>428</v>
      </c>
      <c r="C410" s="5" t="s">
        <v>26</v>
      </c>
      <c r="D410" s="6">
        <v>46153</v>
      </c>
      <c r="E410" s="5">
        <v>1754.17</v>
      </c>
      <c r="F410" s="4" t="s">
        <v>1579</v>
      </c>
      <c r="H410" s="5" t="s">
        <v>1582</v>
      </c>
      <c r="I410" s="5">
        <v>1</v>
      </c>
    </row>
    <row r="411" spans="1:9" x14ac:dyDescent="0.25">
      <c r="A411" s="5" t="s">
        <v>1995</v>
      </c>
      <c r="B411" s="5" t="s">
        <v>938</v>
      </c>
      <c r="C411" s="5" t="s">
        <v>53</v>
      </c>
      <c r="E411" s="5">
        <v>0</v>
      </c>
      <c r="F411" s="5" t="s">
        <v>1573</v>
      </c>
      <c r="G411" s="5" t="s">
        <v>1577</v>
      </c>
      <c r="H411" s="5" t="s">
        <v>1586</v>
      </c>
      <c r="I411" s="5">
        <v>1</v>
      </c>
    </row>
    <row r="412" spans="1:9" x14ac:dyDescent="0.25">
      <c r="A412" s="5" t="s">
        <v>1996</v>
      </c>
      <c r="B412" s="5" t="s">
        <v>1040</v>
      </c>
      <c r="C412" s="5" t="s">
        <v>85</v>
      </c>
      <c r="D412" s="6">
        <v>46284</v>
      </c>
      <c r="E412" s="5">
        <v>2170.8000000000002</v>
      </c>
      <c r="F412" s="5" t="s">
        <v>1579</v>
      </c>
      <c r="H412" s="5" t="s">
        <v>1586</v>
      </c>
      <c r="I412" s="5">
        <v>1</v>
      </c>
    </row>
    <row r="413" spans="1:9" x14ac:dyDescent="0.25">
      <c r="A413" s="5" t="s">
        <v>1997</v>
      </c>
      <c r="B413" s="5" t="s">
        <v>695</v>
      </c>
      <c r="C413" s="5" t="s">
        <v>36</v>
      </c>
      <c r="D413" s="6">
        <v>46168</v>
      </c>
      <c r="E413" s="5">
        <v>14074.86</v>
      </c>
      <c r="F413" s="5" t="s">
        <v>1579</v>
      </c>
      <c r="H413" s="5" t="s">
        <v>1575</v>
      </c>
      <c r="I413" s="5">
        <v>2</v>
      </c>
    </row>
    <row r="414" spans="1:9" x14ac:dyDescent="0.25">
      <c r="A414" s="5" t="s">
        <v>1998</v>
      </c>
      <c r="B414" s="5" t="s">
        <v>278</v>
      </c>
      <c r="C414" s="5" t="s">
        <v>170</v>
      </c>
      <c r="D414" s="6">
        <v>46109</v>
      </c>
      <c r="E414" s="5">
        <v>15287.62</v>
      </c>
      <c r="F414" s="5" t="s">
        <v>1579</v>
      </c>
      <c r="H414" s="5" t="s">
        <v>1582</v>
      </c>
      <c r="I414" s="5">
        <v>1</v>
      </c>
    </row>
    <row r="415" spans="1:9" x14ac:dyDescent="0.25">
      <c r="A415" s="5" t="s">
        <v>1999</v>
      </c>
      <c r="B415" s="5" t="s">
        <v>203</v>
      </c>
      <c r="C415" s="5" t="s">
        <v>85</v>
      </c>
      <c r="D415" s="6">
        <v>46318</v>
      </c>
      <c r="E415" s="5">
        <v>18718.189999999999</v>
      </c>
      <c r="F415" s="5" t="s">
        <v>1579</v>
      </c>
      <c r="H415" s="5" t="s">
        <v>1582</v>
      </c>
      <c r="I415" s="5">
        <v>1</v>
      </c>
    </row>
    <row r="416" spans="1:9" x14ac:dyDescent="0.25">
      <c r="A416" s="5" t="s">
        <v>2000</v>
      </c>
      <c r="B416" s="5" t="s">
        <v>596</v>
      </c>
      <c r="C416" s="5" t="s">
        <v>12</v>
      </c>
      <c r="D416" s="6">
        <v>46046</v>
      </c>
      <c r="E416" s="5">
        <v>3672.35</v>
      </c>
      <c r="F416" s="5" t="s">
        <v>1579</v>
      </c>
      <c r="H416" s="5" t="s">
        <v>1586</v>
      </c>
      <c r="I416" s="5">
        <v>1</v>
      </c>
    </row>
    <row r="417" spans="1:9" x14ac:dyDescent="0.25">
      <c r="A417" s="5" t="s">
        <v>2001</v>
      </c>
      <c r="B417" s="5" t="s">
        <v>1343</v>
      </c>
      <c r="C417" s="5" t="s">
        <v>26</v>
      </c>
      <c r="E417" s="5">
        <v>0</v>
      </c>
      <c r="F417" s="5" t="s">
        <v>1597</v>
      </c>
      <c r="G417" s="5" t="s">
        <v>1641</v>
      </c>
      <c r="H417" s="5" t="s">
        <v>1575</v>
      </c>
      <c r="I417" s="5">
        <v>1</v>
      </c>
    </row>
    <row r="418" spans="1:9" x14ac:dyDescent="0.25">
      <c r="A418" s="5" t="s">
        <v>2002</v>
      </c>
      <c r="B418" s="5" t="s">
        <v>524</v>
      </c>
      <c r="C418" s="5" t="s">
        <v>26</v>
      </c>
      <c r="D418" s="6">
        <v>46317</v>
      </c>
      <c r="E418" s="5">
        <v>4897.09</v>
      </c>
      <c r="F418" s="5" t="s">
        <v>1579</v>
      </c>
      <c r="H418" s="5" t="s">
        <v>1586</v>
      </c>
      <c r="I418" s="5">
        <v>1</v>
      </c>
    </row>
    <row r="419" spans="1:9" x14ac:dyDescent="0.25">
      <c r="A419" s="5" t="s">
        <v>2003</v>
      </c>
      <c r="B419" s="5" t="s">
        <v>1397</v>
      </c>
      <c r="C419" s="5" t="s">
        <v>75</v>
      </c>
      <c r="D419" s="6">
        <v>46354</v>
      </c>
      <c r="E419" s="5">
        <v>19553.310000000001</v>
      </c>
      <c r="F419" s="5" t="s">
        <v>1579</v>
      </c>
      <c r="H419" s="5" t="s">
        <v>1582</v>
      </c>
      <c r="I419" s="5">
        <v>2</v>
      </c>
    </row>
    <row r="420" spans="1:9" x14ac:dyDescent="0.25">
      <c r="A420" s="5" t="s">
        <v>2004</v>
      </c>
      <c r="B420" s="5" t="s">
        <v>1097</v>
      </c>
      <c r="C420" s="5" t="s">
        <v>45</v>
      </c>
      <c r="D420" s="6">
        <v>46174</v>
      </c>
      <c r="E420" s="5">
        <v>11305.22</v>
      </c>
      <c r="F420" s="5" t="s">
        <v>1579</v>
      </c>
      <c r="H420" s="5" t="s">
        <v>1575</v>
      </c>
      <c r="I420" s="5">
        <v>1</v>
      </c>
    </row>
    <row r="421" spans="1:9" x14ac:dyDescent="0.25">
      <c r="A421" s="5" t="s">
        <v>2005</v>
      </c>
      <c r="B421" s="5" t="s">
        <v>356</v>
      </c>
      <c r="C421" s="5" t="s">
        <v>138</v>
      </c>
      <c r="D421" s="6">
        <v>46292</v>
      </c>
      <c r="E421" s="5">
        <v>15538.39</v>
      </c>
      <c r="F421" s="5" t="s">
        <v>1579</v>
      </c>
      <c r="H421" s="5" t="s">
        <v>1586</v>
      </c>
      <c r="I421" s="5">
        <v>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5" customWidth="1"/>
    <col min="3" max="3" width="23" customWidth="1"/>
    <col min="4" max="4" width="20" customWidth="1"/>
    <col min="5" max="5" width="26" customWidth="1"/>
    <col min="6" max="6" width="22" customWidth="1"/>
    <col min="7" max="7" width="15" customWidth="1"/>
  </cols>
  <sheetData>
    <row r="1" spans="1:7" ht="27.95" customHeight="1" x14ac:dyDescent="0.25">
      <c r="A1" s="1" t="s">
        <v>1</v>
      </c>
      <c r="B1" s="1" t="s">
        <v>2006</v>
      </c>
      <c r="C1" s="1" t="s">
        <v>2007</v>
      </c>
      <c r="D1" s="1" t="s">
        <v>2008</v>
      </c>
      <c r="E1" s="1" t="s">
        <v>2009</v>
      </c>
      <c r="F1" s="1" t="s">
        <v>2010</v>
      </c>
      <c r="G1" s="1" t="s">
        <v>2011</v>
      </c>
    </row>
    <row r="2" spans="1:7" x14ac:dyDescent="0.25">
      <c r="A2" t="s">
        <v>71</v>
      </c>
      <c r="B2" t="s">
        <v>2012</v>
      </c>
      <c r="C2" t="s">
        <v>2013</v>
      </c>
      <c r="D2">
        <v>15</v>
      </c>
      <c r="E2" t="s">
        <v>1586</v>
      </c>
      <c r="F2" t="s">
        <v>2014</v>
      </c>
      <c r="G2" t="s">
        <v>2015</v>
      </c>
    </row>
    <row r="3" spans="1:7" x14ac:dyDescent="0.25">
      <c r="A3" t="s">
        <v>89</v>
      </c>
      <c r="B3" t="s">
        <v>2016</v>
      </c>
      <c r="C3" t="s">
        <v>2017</v>
      </c>
      <c r="D3">
        <v>15</v>
      </c>
      <c r="E3" t="s">
        <v>1586</v>
      </c>
      <c r="F3" t="s">
        <v>2018</v>
      </c>
      <c r="G3" t="s">
        <v>2015</v>
      </c>
    </row>
    <row r="4" spans="1:7" x14ac:dyDescent="0.25">
      <c r="A4" t="s">
        <v>102</v>
      </c>
      <c r="B4" t="s">
        <v>2019</v>
      </c>
      <c r="C4" t="s">
        <v>2013</v>
      </c>
      <c r="D4">
        <v>45</v>
      </c>
      <c r="E4" t="s">
        <v>1575</v>
      </c>
      <c r="F4" t="s">
        <v>2020</v>
      </c>
      <c r="G4" t="s">
        <v>2015</v>
      </c>
    </row>
    <row r="5" spans="1:7" x14ac:dyDescent="0.25">
      <c r="A5" t="s">
        <v>45</v>
      </c>
      <c r="B5" t="s">
        <v>2021</v>
      </c>
      <c r="C5" t="s">
        <v>2022</v>
      </c>
      <c r="D5">
        <v>30</v>
      </c>
      <c r="E5" t="s">
        <v>1586</v>
      </c>
      <c r="F5" t="s">
        <v>2023</v>
      </c>
      <c r="G5" t="s">
        <v>2015</v>
      </c>
    </row>
    <row r="6" spans="1:7" x14ac:dyDescent="0.25">
      <c r="A6" t="s">
        <v>122</v>
      </c>
      <c r="B6" t="s">
        <v>2024</v>
      </c>
      <c r="C6" t="s">
        <v>2025</v>
      </c>
      <c r="D6">
        <v>15</v>
      </c>
      <c r="E6" t="s">
        <v>1586</v>
      </c>
      <c r="F6" t="s">
        <v>2026</v>
      </c>
      <c r="G6" t="s">
        <v>2015</v>
      </c>
    </row>
    <row r="7" spans="1:7" x14ac:dyDescent="0.25">
      <c r="A7" t="s">
        <v>12</v>
      </c>
      <c r="B7" t="s">
        <v>2027</v>
      </c>
      <c r="C7" t="s">
        <v>2022</v>
      </c>
      <c r="D7">
        <v>15</v>
      </c>
      <c r="E7" t="s">
        <v>1575</v>
      </c>
      <c r="F7" t="s">
        <v>2028</v>
      </c>
      <c r="G7" t="s">
        <v>2029</v>
      </c>
    </row>
    <row r="8" spans="1:7" x14ac:dyDescent="0.25">
      <c r="A8" t="s">
        <v>53</v>
      </c>
      <c r="B8" t="s">
        <v>2030</v>
      </c>
      <c r="C8" t="s">
        <v>2017</v>
      </c>
      <c r="D8">
        <v>30</v>
      </c>
      <c r="E8" t="s">
        <v>1575</v>
      </c>
      <c r="F8" t="s">
        <v>2031</v>
      </c>
      <c r="G8" t="s">
        <v>2015</v>
      </c>
    </row>
    <row r="9" spans="1:7" x14ac:dyDescent="0.25">
      <c r="A9" t="s">
        <v>20</v>
      </c>
      <c r="B9" t="s">
        <v>2032</v>
      </c>
      <c r="C9" t="s">
        <v>2025</v>
      </c>
      <c r="D9">
        <v>15</v>
      </c>
      <c r="E9" t="s">
        <v>1575</v>
      </c>
      <c r="F9" t="s">
        <v>2033</v>
      </c>
      <c r="G9" t="s">
        <v>2029</v>
      </c>
    </row>
    <row r="10" spans="1:7" x14ac:dyDescent="0.25">
      <c r="A10" t="s">
        <v>49</v>
      </c>
      <c r="B10" t="s">
        <v>2034</v>
      </c>
      <c r="C10" t="s">
        <v>2035</v>
      </c>
      <c r="D10">
        <v>30</v>
      </c>
      <c r="E10" t="s">
        <v>1586</v>
      </c>
      <c r="F10" t="s">
        <v>2036</v>
      </c>
      <c r="G10" t="s">
        <v>2015</v>
      </c>
    </row>
    <row r="11" spans="1:7" x14ac:dyDescent="0.25">
      <c r="A11" t="s">
        <v>163</v>
      </c>
      <c r="B11" t="s">
        <v>2037</v>
      </c>
      <c r="C11" t="s">
        <v>2035</v>
      </c>
      <c r="D11">
        <v>15</v>
      </c>
      <c r="E11" t="s">
        <v>1586</v>
      </c>
      <c r="F11" t="s">
        <v>2038</v>
      </c>
      <c r="G11" t="s">
        <v>2029</v>
      </c>
    </row>
    <row r="12" spans="1:7" x14ac:dyDescent="0.25">
      <c r="A12" t="s">
        <v>26</v>
      </c>
      <c r="B12" t="s">
        <v>2039</v>
      </c>
      <c r="C12" t="s">
        <v>2025</v>
      </c>
      <c r="D12">
        <v>30</v>
      </c>
      <c r="E12" t="s">
        <v>1582</v>
      </c>
      <c r="F12" t="s">
        <v>2040</v>
      </c>
      <c r="G12" t="s">
        <v>2015</v>
      </c>
    </row>
    <row r="13" spans="1:7" x14ac:dyDescent="0.25">
      <c r="A13" t="s">
        <v>57</v>
      </c>
      <c r="B13" t="s">
        <v>2041</v>
      </c>
      <c r="C13" t="s">
        <v>2025</v>
      </c>
      <c r="D13">
        <v>45</v>
      </c>
      <c r="E13" t="s">
        <v>1582</v>
      </c>
      <c r="F13" t="s">
        <v>2042</v>
      </c>
      <c r="G13" t="s">
        <v>2015</v>
      </c>
    </row>
    <row r="14" spans="1:7" x14ac:dyDescent="0.25">
      <c r="A14" t="s">
        <v>41</v>
      </c>
      <c r="B14" t="s">
        <v>2043</v>
      </c>
      <c r="C14" t="s">
        <v>2044</v>
      </c>
      <c r="D14">
        <v>15</v>
      </c>
      <c r="E14" t="s">
        <v>1575</v>
      </c>
      <c r="F14" t="s">
        <v>2045</v>
      </c>
      <c r="G14" t="s">
        <v>2015</v>
      </c>
    </row>
    <row r="15" spans="1:7" x14ac:dyDescent="0.25">
      <c r="A15" t="s">
        <v>85</v>
      </c>
      <c r="B15" t="s">
        <v>2046</v>
      </c>
      <c r="C15" t="s">
        <v>2013</v>
      </c>
      <c r="D15">
        <v>45</v>
      </c>
      <c r="E15" t="s">
        <v>1582</v>
      </c>
      <c r="F15" t="s">
        <v>2047</v>
      </c>
      <c r="G15" t="s">
        <v>2015</v>
      </c>
    </row>
    <row r="16" spans="1:7" x14ac:dyDescent="0.25">
      <c r="A16" t="s">
        <v>112</v>
      </c>
      <c r="B16" t="s">
        <v>2048</v>
      </c>
      <c r="C16" t="s">
        <v>2013</v>
      </c>
      <c r="D16">
        <v>15</v>
      </c>
      <c r="E16" t="s">
        <v>1586</v>
      </c>
      <c r="F16" t="s">
        <v>2049</v>
      </c>
      <c r="G16" t="s">
        <v>2015</v>
      </c>
    </row>
    <row r="17" spans="1:7" x14ac:dyDescent="0.25">
      <c r="A17" t="s">
        <v>75</v>
      </c>
      <c r="B17" t="s">
        <v>2050</v>
      </c>
      <c r="C17" t="s">
        <v>2035</v>
      </c>
      <c r="D17">
        <v>15</v>
      </c>
      <c r="E17" t="s">
        <v>1586</v>
      </c>
      <c r="F17" t="s">
        <v>2051</v>
      </c>
      <c r="G17" t="s">
        <v>2015</v>
      </c>
    </row>
    <row r="18" spans="1:7" x14ac:dyDescent="0.25">
      <c r="A18" t="s">
        <v>36</v>
      </c>
      <c r="B18" t="s">
        <v>2052</v>
      </c>
      <c r="C18" t="s">
        <v>2044</v>
      </c>
      <c r="D18">
        <v>30</v>
      </c>
      <c r="E18" t="s">
        <v>1582</v>
      </c>
      <c r="F18" t="s">
        <v>2053</v>
      </c>
      <c r="G18" t="s">
        <v>2015</v>
      </c>
    </row>
    <row r="19" spans="1:7" x14ac:dyDescent="0.25">
      <c r="A19" t="s">
        <v>32</v>
      </c>
      <c r="B19" t="s">
        <v>2054</v>
      </c>
      <c r="C19" t="s">
        <v>2017</v>
      </c>
      <c r="D19">
        <v>30</v>
      </c>
      <c r="E19" t="s">
        <v>1582</v>
      </c>
      <c r="F19" t="s">
        <v>2055</v>
      </c>
      <c r="G19" t="s">
        <v>2015</v>
      </c>
    </row>
    <row r="20" spans="1:7" x14ac:dyDescent="0.25">
      <c r="A20" t="s">
        <v>170</v>
      </c>
      <c r="B20" t="s">
        <v>2056</v>
      </c>
      <c r="C20" t="s">
        <v>2013</v>
      </c>
      <c r="D20">
        <v>30</v>
      </c>
      <c r="E20" t="s">
        <v>1575</v>
      </c>
      <c r="F20" t="s">
        <v>2057</v>
      </c>
      <c r="G20" t="s">
        <v>2015</v>
      </c>
    </row>
    <row r="21" spans="1:7" x14ac:dyDescent="0.25">
      <c r="A21" t="s">
        <v>138</v>
      </c>
      <c r="B21" t="s">
        <v>2058</v>
      </c>
      <c r="C21" t="s">
        <v>2022</v>
      </c>
      <c r="D21">
        <v>45</v>
      </c>
      <c r="E21" t="s">
        <v>1586</v>
      </c>
      <c r="F21" t="s">
        <v>2059</v>
      </c>
      <c r="G21" t="s">
        <v>2015</v>
      </c>
    </row>
  </sheetData>
  <autoFilter ref="A1:G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3" width="12" customWidth="1"/>
    <col min="4" max="4" width="21" customWidth="1"/>
    <col min="5" max="5" width="25" customWidth="1"/>
    <col min="6" max="6" width="23" customWidth="1"/>
    <col min="7" max="7" width="21" customWidth="1"/>
    <col min="8" max="8" width="42" customWidth="1"/>
  </cols>
  <sheetData>
    <row r="1" spans="1:8" ht="27.95" customHeight="1" x14ac:dyDescent="0.25">
      <c r="A1" s="1" t="s">
        <v>2060</v>
      </c>
      <c r="B1" s="1" t="s">
        <v>0</v>
      </c>
      <c r="C1" s="1" t="s">
        <v>1</v>
      </c>
      <c r="D1" s="1" t="s">
        <v>2061</v>
      </c>
      <c r="E1" s="1" t="s">
        <v>2062</v>
      </c>
      <c r="F1" s="1" t="s">
        <v>2063</v>
      </c>
      <c r="G1" s="1" t="s">
        <v>2064</v>
      </c>
      <c r="H1" s="1" t="s">
        <v>2065</v>
      </c>
    </row>
    <row r="2" spans="1:8" x14ac:dyDescent="0.25">
      <c r="A2" t="s">
        <v>2066</v>
      </c>
      <c r="B2" t="s">
        <v>134</v>
      </c>
      <c r="C2" t="s">
        <v>57</v>
      </c>
      <c r="D2" s="2">
        <v>46058</v>
      </c>
      <c r="E2" t="s">
        <v>2067</v>
      </c>
      <c r="F2" t="s">
        <v>1573</v>
      </c>
      <c r="H2" t="s">
        <v>2068</v>
      </c>
    </row>
    <row r="3" spans="1:8" x14ac:dyDescent="0.25">
      <c r="A3" t="s">
        <v>2069</v>
      </c>
      <c r="B3" t="s">
        <v>1361</v>
      </c>
      <c r="C3" t="s">
        <v>36</v>
      </c>
      <c r="D3" s="2">
        <v>46306</v>
      </c>
      <c r="E3" t="s">
        <v>2070</v>
      </c>
      <c r="F3" t="s">
        <v>2071</v>
      </c>
      <c r="G3" s="2">
        <v>46309</v>
      </c>
      <c r="H3" t="s">
        <v>2072</v>
      </c>
    </row>
    <row r="4" spans="1:8" x14ac:dyDescent="0.25">
      <c r="A4" t="s">
        <v>2073</v>
      </c>
      <c r="B4" t="s">
        <v>404</v>
      </c>
      <c r="C4" t="s">
        <v>57</v>
      </c>
      <c r="D4" s="2">
        <v>46314</v>
      </c>
      <c r="E4" t="s">
        <v>2074</v>
      </c>
      <c r="F4" t="s">
        <v>2071</v>
      </c>
      <c r="G4" s="2">
        <v>46322</v>
      </c>
      <c r="H4" t="s">
        <v>2075</v>
      </c>
    </row>
    <row r="5" spans="1:8" x14ac:dyDescent="0.25">
      <c r="A5" t="s">
        <v>2076</v>
      </c>
      <c r="B5" t="s">
        <v>1217</v>
      </c>
      <c r="C5" t="s">
        <v>26</v>
      </c>
      <c r="D5" s="2">
        <v>46074</v>
      </c>
      <c r="E5" t="s">
        <v>2074</v>
      </c>
      <c r="F5" t="s">
        <v>2077</v>
      </c>
      <c r="H5" t="s">
        <v>2078</v>
      </c>
    </row>
    <row r="6" spans="1:8" x14ac:dyDescent="0.25">
      <c r="A6" t="s">
        <v>2079</v>
      </c>
      <c r="B6" t="s">
        <v>1421</v>
      </c>
      <c r="C6" t="s">
        <v>32</v>
      </c>
      <c r="D6" s="2">
        <v>46048</v>
      </c>
      <c r="E6" t="s">
        <v>2080</v>
      </c>
      <c r="F6" t="s">
        <v>2071</v>
      </c>
      <c r="G6" s="2">
        <v>46055</v>
      </c>
      <c r="H6" t="s">
        <v>2068</v>
      </c>
    </row>
    <row r="7" spans="1:8" x14ac:dyDescent="0.25">
      <c r="A7" t="s">
        <v>2081</v>
      </c>
      <c r="B7" t="s">
        <v>1007</v>
      </c>
      <c r="C7" t="s">
        <v>20</v>
      </c>
      <c r="D7" s="2">
        <v>46244</v>
      </c>
      <c r="E7" t="s">
        <v>2080</v>
      </c>
      <c r="F7" t="s">
        <v>1573</v>
      </c>
      <c r="H7" t="s">
        <v>2075</v>
      </c>
    </row>
    <row r="8" spans="1:8" x14ac:dyDescent="0.25">
      <c r="A8" t="s">
        <v>2082</v>
      </c>
      <c r="B8" t="s">
        <v>1196</v>
      </c>
      <c r="C8" t="s">
        <v>75</v>
      </c>
      <c r="D8" s="2">
        <v>46281</v>
      </c>
      <c r="E8" t="s">
        <v>2067</v>
      </c>
      <c r="F8" t="s">
        <v>1573</v>
      </c>
      <c r="H8" t="s">
        <v>2072</v>
      </c>
    </row>
    <row r="9" spans="1:8" x14ac:dyDescent="0.25">
      <c r="A9" t="s">
        <v>2083</v>
      </c>
      <c r="B9" t="s">
        <v>1400</v>
      </c>
      <c r="C9" t="s">
        <v>138</v>
      </c>
      <c r="D9" s="2">
        <v>46202</v>
      </c>
      <c r="E9" t="s">
        <v>2084</v>
      </c>
      <c r="F9" t="s">
        <v>2077</v>
      </c>
      <c r="H9" t="s">
        <v>2068</v>
      </c>
    </row>
    <row r="10" spans="1:8" x14ac:dyDescent="0.25">
      <c r="A10" t="s">
        <v>2085</v>
      </c>
      <c r="B10" t="s">
        <v>1451</v>
      </c>
      <c r="C10" t="s">
        <v>71</v>
      </c>
      <c r="D10" s="2">
        <v>46083</v>
      </c>
      <c r="E10" t="s">
        <v>2070</v>
      </c>
      <c r="F10" t="s">
        <v>2071</v>
      </c>
      <c r="G10" s="2">
        <v>46092</v>
      </c>
      <c r="H10" t="s">
        <v>2078</v>
      </c>
    </row>
    <row r="11" spans="1:8" x14ac:dyDescent="0.25">
      <c r="A11" t="s">
        <v>2086</v>
      </c>
      <c r="B11" t="s">
        <v>147</v>
      </c>
      <c r="C11" t="s">
        <v>20</v>
      </c>
      <c r="D11" s="2">
        <v>46154</v>
      </c>
      <c r="E11" t="s">
        <v>2070</v>
      </c>
      <c r="F11" t="s">
        <v>2071</v>
      </c>
      <c r="G11" s="2">
        <v>46158</v>
      </c>
      <c r="H11" t="s">
        <v>2087</v>
      </c>
    </row>
    <row r="12" spans="1:8" x14ac:dyDescent="0.25">
      <c r="A12" t="s">
        <v>2088</v>
      </c>
      <c r="B12" t="s">
        <v>137</v>
      </c>
      <c r="C12" t="s">
        <v>138</v>
      </c>
      <c r="D12" s="2">
        <v>46121</v>
      </c>
      <c r="E12" t="s">
        <v>2080</v>
      </c>
      <c r="F12" t="s">
        <v>2071</v>
      </c>
      <c r="G12" s="2">
        <v>46129</v>
      </c>
      <c r="H12" t="s">
        <v>2072</v>
      </c>
    </row>
    <row r="13" spans="1:8" x14ac:dyDescent="0.25">
      <c r="A13" t="s">
        <v>2089</v>
      </c>
      <c r="B13" t="s">
        <v>584</v>
      </c>
      <c r="C13" t="s">
        <v>112</v>
      </c>
      <c r="D13" s="2">
        <v>46220</v>
      </c>
      <c r="E13" t="s">
        <v>2080</v>
      </c>
      <c r="F13" t="s">
        <v>2071</v>
      </c>
      <c r="G13" s="2">
        <v>46223</v>
      </c>
      <c r="H13" t="s">
        <v>2072</v>
      </c>
    </row>
    <row r="14" spans="1:8" x14ac:dyDescent="0.25">
      <c r="A14" t="s">
        <v>2090</v>
      </c>
      <c r="B14" t="s">
        <v>971</v>
      </c>
      <c r="C14" t="s">
        <v>112</v>
      </c>
      <c r="D14" s="2">
        <v>46171</v>
      </c>
      <c r="E14" t="s">
        <v>2070</v>
      </c>
      <c r="F14" t="s">
        <v>2071</v>
      </c>
      <c r="G14" s="2">
        <v>46182</v>
      </c>
      <c r="H14" t="s">
        <v>2072</v>
      </c>
    </row>
    <row r="15" spans="1:8" x14ac:dyDescent="0.25">
      <c r="A15" t="s">
        <v>2091</v>
      </c>
      <c r="B15" t="s">
        <v>545</v>
      </c>
      <c r="C15" t="s">
        <v>112</v>
      </c>
      <c r="D15" s="2">
        <v>46214</v>
      </c>
      <c r="E15" t="s">
        <v>2080</v>
      </c>
      <c r="F15" t="s">
        <v>2077</v>
      </c>
      <c r="H15" t="s">
        <v>2075</v>
      </c>
    </row>
    <row r="16" spans="1:8" x14ac:dyDescent="0.25">
      <c r="A16" t="s">
        <v>2092</v>
      </c>
      <c r="B16" t="s">
        <v>1544</v>
      </c>
      <c r="C16" t="s">
        <v>20</v>
      </c>
      <c r="D16" s="2">
        <v>46068</v>
      </c>
      <c r="E16" t="s">
        <v>2084</v>
      </c>
      <c r="F16" t="s">
        <v>2071</v>
      </c>
      <c r="G16" s="2">
        <v>46071</v>
      </c>
      <c r="H16" t="s">
        <v>2068</v>
      </c>
    </row>
    <row r="17" spans="1:8" x14ac:dyDescent="0.25">
      <c r="A17" t="s">
        <v>2093</v>
      </c>
      <c r="B17" t="s">
        <v>1364</v>
      </c>
      <c r="C17" t="s">
        <v>41</v>
      </c>
      <c r="D17" s="2">
        <v>46108</v>
      </c>
      <c r="E17" t="s">
        <v>2084</v>
      </c>
      <c r="F17" t="s">
        <v>2071</v>
      </c>
      <c r="G17" s="2">
        <v>46115</v>
      </c>
      <c r="H17" t="s">
        <v>2078</v>
      </c>
    </row>
    <row r="18" spans="1:8" x14ac:dyDescent="0.25">
      <c r="A18" t="s">
        <v>2094</v>
      </c>
      <c r="B18" t="s">
        <v>452</v>
      </c>
      <c r="C18" t="s">
        <v>138</v>
      </c>
      <c r="D18" s="2">
        <v>46310</v>
      </c>
      <c r="E18" t="s">
        <v>2074</v>
      </c>
      <c r="F18" t="s">
        <v>2095</v>
      </c>
      <c r="H18" t="s">
        <v>2087</v>
      </c>
    </row>
    <row r="19" spans="1:8" x14ac:dyDescent="0.25">
      <c r="A19" t="s">
        <v>2096</v>
      </c>
      <c r="B19" t="s">
        <v>998</v>
      </c>
      <c r="C19" t="s">
        <v>26</v>
      </c>
      <c r="D19" s="2">
        <v>46056</v>
      </c>
      <c r="E19" t="s">
        <v>2074</v>
      </c>
      <c r="F19" t="s">
        <v>2071</v>
      </c>
      <c r="G19" s="2">
        <v>46061</v>
      </c>
      <c r="H19" t="s">
        <v>2072</v>
      </c>
    </row>
    <row r="20" spans="1:8" x14ac:dyDescent="0.25">
      <c r="A20" t="s">
        <v>2097</v>
      </c>
      <c r="B20" t="s">
        <v>1235</v>
      </c>
      <c r="C20" t="s">
        <v>112</v>
      </c>
      <c r="D20" s="2">
        <v>46194</v>
      </c>
      <c r="E20" t="s">
        <v>2067</v>
      </c>
      <c r="F20" t="s">
        <v>2071</v>
      </c>
      <c r="G20" s="2">
        <v>46197</v>
      </c>
      <c r="H20" t="s">
        <v>2068</v>
      </c>
    </row>
    <row r="21" spans="1:8" x14ac:dyDescent="0.25">
      <c r="A21" t="s">
        <v>2098</v>
      </c>
      <c r="B21" t="s">
        <v>1538</v>
      </c>
      <c r="C21" t="s">
        <v>122</v>
      </c>
      <c r="D21" s="2">
        <v>46257</v>
      </c>
      <c r="E21" t="s">
        <v>2084</v>
      </c>
      <c r="F21" t="s">
        <v>2071</v>
      </c>
      <c r="G21" s="2">
        <v>46265</v>
      </c>
      <c r="H21" t="s">
        <v>2072</v>
      </c>
    </row>
    <row r="22" spans="1:8" x14ac:dyDescent="0.25">
      <c r="A22" t="s">
        <v>2099</v>
      </c>
      <c r="B22" t="s">
        <v>377</v>
      </c>
      <c r="C22" t="s">
        <v>122</v>
      </c>
      <c r="D22" s="2">
        <v>46082</v>
      </c>
      <c r="E22" t="s">
        <v>2067</v>
      </c>
      <c r="F22" t="s">
        <v>2095</v>
      </c>
      <c r="H22" t="s">
        <v>2068</v>
      </c>
    </row>
    <row r="23" spans="1:8" x14ac:dyDescent="0.25">
      <c r="A23" t="s">
        <v>2100</v>
      </c>
      <c r="B23" t="s">
        <v>1543</v>
      </c>
      <c r="C23" t="s">
        <v>45</v>
      </c>
      <c r="D23" s="2">
        <v>46044</v>
      </c>
      <c r="E23" t="s">
        <v>2067</v>
      </c>
      <c r="F23" t="s">
        <v>2071</v>
      </c>
      <c r="G23" s="2">
        <v>46049</v>
      </c>
      <c r="H23" t="s">
        <v>2078</v>
      </c>
    </row>
    <row r="24" spans="1:8" x14ac:dyDescent="0.25">
      <c r="A24" t="s">
        <v>2101</v>
      </c>
      <c r="B24" t="s">
        <v>1484</v>
      </c>
      <c r="C24" t="s">
        <v>122</v>
      </c>
      <c r="D24" s="2">
        <v>46091</v>
      </c>
      <c r="E24" t="s">
        <v>2067</v>
      </c>
      <c r="F24" t="s">
        <v>1573</v>
      </c>
      <c r="H24" t="s">
        <v>2087</v>
      </c>
    </row>
    <row r="25" spans="1:8" x14ac:dyDescent="0.25">
      <c r="A25" t="s">
        <v>2102</v>
      </c>
      <c r="B25" t="s">
        <v>1502</v>
      </c>
      <c r="C25" t="s">
        <v>85</v>
      </c>
      <c r="D25" s="2">
        <v>46110</v>
      </c>
      <c r="E25" t="s">
        <v>2067</v>
      </c>
      <c r="F25" t="s">
        <v>2077</v>
      </c>
      <c r="H25" t="s">
        <v>2078</v>
      </c>
    </row>
    <row r="26" spans="1:8" x14ac:dyDescent="0.25">
      <c r="A26" t="s">
        <v>2103</v>
      </c>
      <c r="B26" t="s">
        <v>521</v>
      </c>
      <c r="C26" t="s">
        <v>36</v>
      </c>
      <c r="D26" s="2">
        <v>46072</v>
      </c>
      <c r="E26" t="s">
        <v>2084</v>
      </c>
      <c r="F26" t="s">
        <v>1573</v>
      </c>
      <c r="H26" t="s">
        <v>2078</v>
      </c>
    </row>
    <row r="27" spans="1:8" x14ac:dyDescent="0.25">
      <c r="A27" t="s">
        <v>2104</v>
      </c>
      <c r="B27" t="s">
        <v>1559</v>
      </c>
      <c r="C27" t="s">
        <v>53</v>
      </c>
      <c r="D27" s="2">
        <v>46303</v>
      </c>
      <c r="E27" t="s">
        <v>2084</v>
      </c>
      <c r="F27" t="s">
        <v>1573</v>
      </c>
      <c r="H27" t="s">
        <v>2068</v>
      </c>
    </row>
    <row r="28" spans="1:8" x14ac:dyDescent="0.25">
      <c r="A28" t="s">
        <v>2105</v>
      </c>
      <c r="B28" t="s">
        <v>212</v>
      </c>
      <c r="C28" t="s">
        <v>112</v>
      </c>
      <c r="D28" s="2">
        <v>46134</v>
      </c>
      <c r="E28" t="s">
        <v>2080</v>
      </c>
      <c r="F28" t="s">
        <v>2071</v>
      </c>
      <c r="G28" s="2">
        <v>46136</v>
      </c>
      <c r="H28" t="s">
        <v>2072</v>
      </c>
    </row>
    <row r="29" spans="1:8" x14ac:dyDescent="0.25">
      <c r="A29" t="s">
        <v>2106</v>
      </c>
      <c r="B29" t="s">
        <v>1241</v>
      </c>
      <c r="C29" t="s">
        <v>41</v>
      </c>
      <c r="D29" s="2">
        <v>46110</v>
      </c>
      <c r="E29" t="s">
        <v>2080</v>
      </c>
      <c r="F29" t="s">
        <v>1573</v>
      </c>
      <c r="H29" t="s">
        <v>2078</v>
      </c>
    </row>
    <row r="30" spans="1:8" x14ac:dyDescent="0.25">
      <c r="A30" t="s">
        <v>2107</v>
      </c>
      <c r="B30" t="s">
        <v>848</v>
      </c>
      <c r="C30" t="s">
        <v>89</v>
      </c>
      <c r="D30" s="2">
        <v>46072</v>
      </c>
      <c r="E30" t="s">
        <v>2074</v>
      </c>
      <c r="F30" t="s">
        <v>2071</v>
      </c>
      <c r="G30" s="2">
        <v>46082</v>
      </c>
      <c r="H30" t="s">
        <v>2075</v>
      </c>
    </row>
    <row r="31" spans="1:8" x14ac:dyDescent="0.25">
      <c r="A31" t="s">
        <v>2108</v>
      </c>
      <c r="B31" t="s">
        <v>1547</v>
      </c>
      <c r="C31" t="s">
        <v>57</v>
      </c>
      <c r="D31" s="2">
        <v>46147</v>
      </c>
      <c r="E31" t="s">
        <v>2070</v>
      </c>
      <c r="F31" t="s">
        <v>2077</v>
      </c>
      <c r="H31" t="s">
        <v>2072</v>
      </c>
    </row>
    <row r="32" spans="1:8" x14ac:dyDescent="0.25">
      <c r="A32" t="s">
        <v>2109</v>
      </c>
      <c r="B32" t="s">
        <v>1199</v>
      </c>
      <c r="C32" t="s">
        <v>57</v>
      </c>
      <c r="D32" s="2">
        <v>46125</v>
      </c>
      <c r="E32" t="s">
        <v>2084</v>
      </c>
      <c r="F32" t="s">
        <v>2077</v>
      </c>
      <c r="H32" t="s">
        <v>2068</v>
      </c>
    </row>
    <row r="33" spans="1:8" x14ac:dyDescent="0.25">
      <c r="A33" t="s">
        <v>2110</v>
      </c>
      <c r="B33" t="s">
        <v>1124</v>
      </c>
      <c r="C33" t="s">
        <v>138</v>
      </c>
      <c r="D33" s="2">
        <v>46153</v>
      </c>
      <c r="E33" t="s">
        <v>2074</v>
      </c>
      <c r="F33" t="s">
        <v>2071</v>
      </c>
      <c r="G33" s="2">
        <v>46158</v>
      </c>
      <c r="H33" t="s">
        <v>2087</v>
      </c>
    </row>
    <row r="34" spans="1:8" x14ac:dyDescent="0.25">
      <c r="A34" t="s">
        <v>2111</v>
      </c>
      <c r="B34" t="s">
        <v>914</v>
      </c>
      <c r="C34" t="s">
        <v>57</v>
      </c>
      <c r="D34" s="2">
        <v>46126</v>
      </c>
      <c r="E34" t="s">
        <v>2067</v>
      </c>
      <c r="F34" t="s">
        <v>2071</v>
      </c>
      <c r="G34" s="2">
        <v>46134</v>
      </c>
      <c r="H34" t="s">
        <v>2072</v>
      </c>
    </row>
    <row r="35" spans="1:8" x14ac:dyDescent="0.25">
      <c r="A35" t="s">
        <v>2112</v>
      </c>
      <c r="B35" t="s">
        <v>1025</v>
      </c>
      <c r="C35" t="s">
        <v>138</v>
      </c>
      <c r="D35" s="2">
        <v>46171</v>
      </c>
      <c r="E35" t="s">
        <v>2070</v>
      </c>
      <c r="F35" t="s">
        <v>2071</v>
      </c>
      <c r="G35" s="2">
        <v>46180</v>
      </c>
      <c r="H35" t="s">
        <v>2087</v>
      </c>
    </row>
    <row r="36" spans="1:8" x14ac:dyDescent="0.25">
      <c r="A36" t="s">
        <v>2113</v>
      </c>
      <c r="B36" t="s">
        <v>227</v>
      </c>
      <c r="C36" t="s">
        <v>41</v>
      </c>
      <c r="D36" s="2">
        <v>46233</v>
      </c>
      <c r="E36" t="s">
        <v>2070</v>
      </c>
      <c r="F36" t="s">
        <v>2071</v>
      </c>
      <c r="G36" s="2">
        <v>46236</v>
      </c>
      <c r="H36" t="s">
        <v>2078</v>
      </c>
    </row>
    <row r="37" spans="1:8" x14ac:dyDescent="0.25">
      <c r="A37" t="s">
        <v>2114</v>
      </c>
      <c r="B37" t="s">
        <v>121</v>
      </c>
      <c r="C37" t="s">
        <v>122</v>
      </c>
      <c r="D37" s="2">
        <v>46173</v>
      </c>
      <c r="E37" t="s">
        <v>2070</v>
      </c>
      <c r="F37" t="s">
        <v>2071</v>
      </c>
      <c r="G37" s="2">
        <v>46174</v>
      </c>
      <c r="H37" t="s">
        <v>2072</v>
      </c>
    </row>
    <row r="38" spans="1:8" x14ac:dyDescent="0.25">
      <c r="A38" t="s">
        <v>2115</v>
      </c>
      <c r="B38" t="s">
        <v>179</v>
      </c>
      <c r="C38" t="s">
        <v>112</v>
      </c>
      <c r="D38" s="2">
        <v>46236</v>
      </c>
      <c r="E38" t="s">
        <v>2074</v>
      </c>
      <c r="F38" t="s">
        <v>2071</v>
      </c>
      <c r="G38" s="2">
        <v>46241</v>
      </c>
      <c r="H38" t="s">
        <v>2072</v>
      </c>
    </row>
    <row r="39" spans="1:8" x14ac:dyDescent="0.25">
      <c r="A39" t="s">
        <v>2116</v>
      </c>
      <c r="B39" t="s">
        <v>434</v>
      </c>
      <c r="C39" t="s">
        <v>32</v>
      </c>
      <c r="D39" s="2">
        <v>46153</v>
      </c>
      <c r="E39" t="s">
        <v>2070</v>
      </c>
      <c r="F39" t="s">
        <v>2071</v>
      </c>
      <c r="G39" s="2">
        <v>46164</v>
      </c>
      <c r="H39" t="s">
        <v>2075</v>
      </c>
    </row>
    <row r="40" spans="1:8" x14ac:dyDescent="0.25">
      <c r="A40" t="s">
        <v>2117</v>
      </c>
      <c r="B40" t="s">
        <v>1166</v>
      </c>
      <c r="C40" t="s">
        <v>20</v>
      </c>
      <c r="D40" s="2">
        <v>46083</v>
      </c>
      <c r="E40" t="s">
        <v>2084</v>
      </c>
      <c r="F40" t="s">
        <v>2071</v>
      </c>
      <c r="G40" s="2">
        <v>46090</v>
      </c>
      <c r="H40" t="s">
        <v>2075</v>
      </c>
    </row>
    <row r="41" spans="1:8" x14ac:dyDescent="0.25">
      <c r="A41" t="s">
        <v>2118</v>
      </c>
      <c r="B41" t="s">
        <v>1112</v>
      </c>
      <c r="C41" t="s">
        <v>122</v>
      </c>
      <c r="D41" s="2">
        <v>46136</v>
      </c>
      <c r="E41" t="s">
        <v>2070</v>
      </c>
      <c r="F41" t="s">
        <v>2095</v>
      </c>
      <c r="H41" t="s">
        <v>2078</v>
      </c>
    </row>
    <row r="42" spans="1:8" x14ac:dyDescent="0.25">
      <c r="A42" t="s">
        <v>2119</v>
      </c>
      <c r="B42" t="s">
        <v>118</v>
      </c>
      <c r="C42" t="s">
        <v>71</v>
      </c>
      <c r="D42" s="2">
        <v>46313</v>
      </c>
      <c r="E42" t="s">
        <v>2070</v>
      </c>
      <c r="F42" t="s">
        <v>2071</v>
      </c>
      <c r="G42" s="2">
        <v>46317</v>
      </c>
      <c r="H42" t="s">
        <v>2068</v>
      </c>
    </row>
    <row r="43" spans="1:8" x14ac:dyDescent="0.25">
      <c r="A43" t="s">
        <v>2120</v>
      </c>
      <c r="B43" t="s">
        <v>1088</v>
      </c>
      <c r="C43" t="s">
        <v>85</v>
      </c>
      <c r="D43" s="2">
        <v>46233</v>
      </c>
      <c r="E43" t="s">
        <v>2070</v>
      </c>
      <c r="F43" t="s">
        <v>2095</v>
      </c>
      <c r="H43" t="s">
        <v>2087</v>
      </c>
    </row>
    <row r="44" spans="1:8" x14ac:dyDescent="0.25">
      <c r="A44" t="s">
        <v>2121</v>
      </c>
      <c r="B44" t="s">
        <v>1208</v>
      </c>
      <c r="C44" t="s">
        <v>75</v>
      </c>
      <c r="D44" s="2">
        <v>46184</v>
      </c>
      <c r="E44" t="s">
        <v>2067</v>
      </c>
      <c r="F44" t="s">
        <v>2077</v>
      </c>
      <c r="H44" t="s">
        <v>2087</v>
      </c>
    </row>
    <row r="45" spans="1:8" x14ac:dyDescent="0.25">
      <c r="A45" t="s">
        <v>2122</v>
      </c>
      <c r="B45" t="s">
        <v>338</v>
      </c>
      <c r="C45" t="s">
        <v>122</v>
      </c>
      <c r="D45" s="2">
        <v>46289</v>
      </c>
      <c r="E45" t="s">
        <v>2070</v>
      </c>
      <c r="F45" t="s">
        <v>2071</v>
      </c>
      <c r="G45" s="2">
        <v>46301</v>
      </c>
      <c r="H45" t="s">
        <v>2087</v>
      </c>
    </row>
    <row r="46" spans="1:8" x14ac:dyDescent="0.25">
      <c r="A46" t="s">
        <v>2123</v>
      </c>
      <c r="B46" t="s">
        <v>1355</v>
      </c>
      <c r="C46" t="s">
        <v>122</v>
      </c>
      <c r="D46" s="2">
        <v>46273</v>
      </c>
      <c r="E46" t="s">
        <v>2074</v>
      </c>
      <c r="F46" t="s">
        <v>2095</v>
      </c>
      <c r="H46" t="s">
        <v>2078</v>
      </c>
    </row>
    <row r="47" spans="1:8" x14ac:dyDescent="0.25">
      <c r="A47" t="s">
        <v>2124</v>
      </c>
      <c r="B47" t="s">
        <v>1100</v>
      </c>
      <c r="C47" t="s">
        <v>163</v>
      </c>
      <c r="D47" s="2">
        <v>46271</v>
      </c>
      <c r="E47" t="s">
        <v>2084</v>
      </c>
      <c r="F47" t="s">
        <v>2071</v>
      </c>
      <c r="G47" s="2">
        <v>46281</v>
      </c>
      <c r="H47" t="s">
        <v>2072</v>
      </c>
    </row>
    <row r="48" spans="1:8" x14ac:dyDescent="0.25">
      <c r="A48" t="s">
        <v>2125</v>
      </c>
      <c r="B48" t="s">
        <v>1136</v>
      </c>
      <c r="C48" t="s">
        <v>170</v>
      </c>
      <c r="D48" s="2">
        <v>46156</v>
      </c>
      <c r="E48" t="s">
        <v>2067</v>
      </c>
      <c r="F48" t="s">
        <v>2077</v>
      </c>
      <c r="H48" t="s">
        <v>2075</v>
      </c>
    </row>
    <row r="49" spans="1:8" x14ac:dyDescent="0.25">
      <c r="A49" t="s">
        <v>2126</v>
      </c>
      <c r="B49" t="s">
        <v>1304</v>
      </c>
      <c r="C49" t="s">
        <v>45</v>
      </c>
      <c r="D49" s="2">
        <v>46224</v>
      </c>
      <c r="E49" t="s">
        <v>2084</v>
      </c>
      <c r="F49" t="s">
        <v>1573</v>
      </c>
      <c r="H49" t="s">
        <v>2068</v>
      </c>
    </row>
    <row r="50" spans="1:8" x14ac:dyDescent="0.25">
      <c r="A50" t="s">
        <v>2127</v>
      </c>
      <c r="B50" t="s">
        <v>1118</v>
      </c>
      <c r="C50" t="s">
        <v>45</v>
      </c>
      <c r="D50" s="2">
        <v>46050</v>
      </c>
      <c r="E50" t="s">
        <v>2070</v>
      </c>
      <c r="F50" t="s">
        <v>2071</v>
      </c>
      <c r="G50" s="2">
        <v>46056</v>
      </c>
      <c r="H50" t="s">
        <v>2072</v>
      </c>
    </row>
    <row r="51" spans="1:8" x14ac:dyDescent="0.25">
      <c r="A51" t="s">
        <v>2128</v>
      </c>
      <c r="B51" t="s">
        <v>791</v>
      </c>
      <c r="C51" t="s">
        <v>36</v>
      </c>
      <c r="D51" s="2">
        <v>46141</v>
      </c>
      <c r="E51" t="s">
        <v>2074</v>
      </c>
      <c r="F51" t="s">
        <v>2071</v>
      </c>
      <c r="G51" s="2">
        <v>46150</v>
      </c>
      <c r="H51" t="s">
        <v>2068</v>
      </c>
    </row>
    <row r="52" spans="1:8" x14ac:dyDescent="0.25">
      <c r="A52" t="s">
        <v>2129</v>
      </c>
      <c r="B52" t="s">
        <v>800</v>
      </c>
      <c r="C52" t="s">
        <v>122</v>
      </c>
      <c r="D52" s="2">
        <v>46273</v>
      </c>
      <c r="E52" t="s">
        <v>2070</v>
      </c>
      <c r="F52" t="s">
        <v>2077</v>
      </c>
      <c r="H52" t="s">
        <v>2087</v>
      </c>
    </row>
    <row r="53" spans="1:8" x14ac:dyDescent="0.25">
      <c r="A53" t="s">
        <v>2130</v>
      </c>
      <c r="B53" t="s">
        <v>761</v>
      </c>
      <c r="C53" t="s">
        <v>112</v>
      </c>
      <c r="D53" s="2">
        <v>46094</v>
      </c>
      <c r="E53" t="s">
        <v>2070</v>
      </c>
      <c r="F53" t="s">
        <v>2071</v>
      </c>
      <c r="G53" s="2">
        <v>46097</v>
      </c>
      <c r="H53" t="s">
        <v>2072</v>
      </c>
    </row>
    <row r="54" spans="1:8" x14ac:dyDescent="0.25">
      <c r="A54" t="s">
        <v>2131</v>
      </c>
      <c r="B54" t="s">
        <v>299</v>
      </c>
      <c r="C54" t="s">
        <v>49</v>
      </c>
      <c r="D54" s="2">
        <v>46052</v>
      </c>
      <c r="E54" t="s">
        <v>2074</v>
      </c>
      <c r="F54" t="s">
        <v>2077</v>
      </c>
      <c r="H54" t="s">
        <v>2075</v>
      </c>
    </row>
    <row r="55" spans="1:8" x14ac:dyDescent="0.25">
      <c r="A55" t="s">
        <v>2132</v>
      </c>
      <c r="B55" t="s">
        <v>242</v>
      </c>
      <c r="C55" t="s">
        <v>112</v>
      </c>
      <c r="D55" s="2">
        <v>46152</v>
      </c>
      <c r="E55" t="s">
        <v>2084</v>
      </c>
      <c r="F55" t="s">
        <v>2071</v>
      </c>
      <c r="G55" s="2">
        <v>46159</v>
      </c>
      <c r="H55" t="s">
        <v>2072</v>
      </c>
    </row>
    <row r="56" spans="1:8" x14ac:dyDescent="0.25">
      <c r="A56" t="s">
        <v>2133</v>
      </c>
      <c r="B56" t="s">
        <v>977</v>
      </c>
      <c r="C56" t="s">
        <v>89</v>
      </c>
      <c r="D56" s="2">
        <v>46202</v>
      </c>
      <c r="E56" t="s">
        <v>2080</v>
      </c>
      <c r="F56" t="s">
        <v>2071</v>
      </c>
      <c r="G56" s="2">
        <v>46213</v>
      </c>
      <c r="H56" t="s">
        <v>2072</v>
      </c>
    </row>
    <row r="57" spans="1:8" x14ac:dyDescent="0.25">
      <c r="A57" t="s">
        <v>2134</v>
      </c>
      <c r="B57" t="s">
        <v>392</v>
      </c>
      <c r="C57" t="s">
        <v>20</v>
      </c>
      <c r="D57" s="2">
        <v>46057</v>
      </c>
      <c r="E57" t="s">
        <v>2084</v>
      </c>
      <c r="F57" t="s">
        <v>1573</v>
      </c>
      <c r="H57" t="s">
        <v>2068</v>
      </c>
    </row>
    <row r="58" spans="1:8" x14ac:dyDescent="0.25">
      <c r="A58" t="s">
        <v>2135</v>
      </c>
      <c r="B58" t="s">
        <v>1076</v>
      </c>
      <c r="C58" t="s">
        <v>138</v>
      </c>
      <c r="D58" s="2">
        <v>46152</v>
      </c>
      <c r="E58" t="s">
        <v>2067</v>
      </c>
      <c r="F58" t="s">
        <v>2071</v>
      </c>
      <c r="G58" s="2">
        <v>46159</v>
      </c>
      <c r="H58" t="s">
        <v>2072</v>
      </c>
    </row>
    <row r="59" spans="1:8" x14ac:dyDescent="0.25">
      <c r="A59" t="s">
        <v>2136</v>
      </c>
      <c r="B59" t="s">
        <v>560</v>
      </c>
      <c r="C59" t="s">
        <v>32</v>
      </c>
      <c r="D59" s="2">
        <v>46039</v>
      </c>
      <c r="E59" t="s">
        <v>2074</v>
      </c>
      <c r="F59" t="s">
        <v>2071</v>
      </c>
      <c r="G59" s="2">
        <v>46041</v>
      </c>
      <c r="H59" t="s">
        <v>2078</v>
      </c>
    </row>
    <row r="60" spans="1:8" x14ac:dyDescent="0.25">
      <c r="A60" t="s">
        <v>2137</v>
      </c>
      <c r="B60" t="s">
        <v>95</v>
      </c>
      <c r="C60" t="s">
        <v>32</v>
      </c>
      <c r="D60" s="2">
        <v>46290</v>
      </c>
      <c r="E60" t="s">
        <v>2067</v>
      </c>
      <c r="F60" t="s">
        <v>2071</v>
      </c>
      <c r="G60" s="2">
        <v>46291</v>
      </c>
      <c r="H60" t="s">
        <v>2072</v>
      </c>
    </row>
    <row r="61" spans="1:8" x14ac:dyDescent="0.25">
      <c r="A61" t="s">
        <v>2138</v>
      </c>
      <c r="B61" t="s">
        <v>1040</v>
      </c>
      <c r="C61" t="s">
        <v>85</v>
      </c>
      <c r="D61" s="2">
        <v>46242</v>
      </c>
      <c r="E61" t="s">
        <v>2084</v>
      </c>
      <c r="F61" t="s">
        <v>2071</v>
      </c>
      <c r="G61" s="2">
        <v>46244</v>
      </c>
      <c r="H61" t="s">
        <v>2068</v>
      </c>
    </row>
    <row r="62" spans="1:8" x14ac:dyDescent="0.25">
      <c r="A62" t="s">
        <v>2139</v>
      </c>
      <c r="B62" t="s">
        <v>153</v>
      </c>
      <c r="C62" t="s">
        <v>12</v>
      </c>
      <c r="D62" s="2">
        <v>46164</v>
      </c>
      <c r="E62" t="s">
        <v>2070</v>
      </c>
      <c r="F62" t="s">
        <v>1573</v>
      </c>
      <c r="H62" t="s">
        <v>2078</v>
      </c>
    </row>
    <row r="63" spans="1:8" x14ac:dyDescent="0.25">
      <c r="A63" t="s">
        <v>2140</v>
      </c>
      <c r="B63" t="s">
        <v>1454</v>
      </c>
      <c r="C63" t="s">
        <v>26</v>
      </c>
      <c r="D63" s="2">
        <v>46230</v>
      </c>
      <c r="E63" t="s">
        <v>2074</v>
      </c>
      <c r="F63" t="s">
        <v>2077</v>
      </c>
      <c r="H63" t="s">
        <v>2087</v>
      </c>
    </row>
    <row r="64" spans="1:8" x14ac:dyDescent="0.25">
      <c r="A64" t="s">
        <v>2141</v>
      </c>
      <c r="B64" t="s">
        <v>1337</v>
      </c>
      <c r="C64" t="s">
        <v>49</v>
      </c>
      <c r="D64" s="2">
        <v>46279</v>
      </c>
      <c r="E64" t="s">
        <v>2074</v>
      </c>
      <c r="F64" t="s">
        <v>2095</v>
      </c>
      <c r="H64" t="s">
        <v>2078</v>
      </c>
    </row>
    <row r="65" spans="1:8" x14ac:dyDescent="0.25">
      <c r="A65" t="s">
        <v>2142</v>
      </c>
      <c r="B65" t="s">
        <v>1334</v>
      </c>
      <c r="C65" t="s">
        <v>36</v>
      </c>
      <c r="D65" s="2">
        <v>46067</v>
      </c>
      <c r="E65" t="s">
        <v>2084</v>
      </c>
      <c r="F65" t="s">
        <v>1573</v>
      </c>
      <c r="H65" t="s">
        <v>2068</v>
      </c>
    </row>
    <row r="66" spans="1:8" x14ac:dyDescent="0.25">
      <c r="A66" t="s">
        <v>2143</v>
      </c>
      <c r="B66" t="s">
        <v>860</v>
      </c>
      <c r="C66" t="s">
        <v>163</v>
      </c>
      <c r="D66" s="2">
        <v>46110</v>
      </c>
      <c r="E66" t="s">
        <v>2067</v>
      </c>
      <c r="F66" t="s">
        <v>2071</v>
      </c>
      <c r="G66" s="2">
        <v>46115</v>
      </c>
      <c r="H66" t="s">
        <v>2078</v>
      </c>
    </row>
    <row r="67" spans="1:8" x14ac:dyDescent="0.25">
      <c r="A67" t="s">
        <v>2144</v>
      </c>
      <c r="B67" t="s">
        <v>1481</v>
      </c>
      <c r="C67" t="s">
        <v>163</v>
      </c>
      <c r="D67" s="2">
        <v>46110</v>
      </c>
      <c r="E67" t="s">
        <v>2074</v>
      </c>
      <c r="F67" t="s">
        <v>2071</v>
      </c>
      <c r="G67" s="2">
        <v>46116</v>
      </c>
      <c r="H67" t="s">
        <v>2072</v>
      </c>
    </row>
    <row r="68" spans="1:8" x14ac:dyDescent="0.25">
      <c r="A68" t="s">
        <v>2145</v>
      </c>
      <c r="B68" t="s">
        <v>101</v>
      </c>
      <c r="C68" t="s">
        <v>102</v>
      </c>
      <c r="D68" s="2">
        <v>46071</v>
      </c>
      <c r="E68" t="s">
        <v>2067</v>
      </c>
      <c r="F68" t="s">
        <v>1573</v>
      </c>
      <c r="H68" t="s">
        <v>2075</v>
      </c>
    </row>
    <row r="69" spans="1:8" x14ac:dyDescent="0.25">
      <c r="A69" t="s">
        <v>2146</v>
      </c>
      <c r="B69" t="s">
        <v>1013</v>
      </c>
      <c r="C69" t="s">
        <v>41</v>
      </c>
      <c r="D69" s="2">
        <v>46078</v>
      </c>
      <c r="E69" t="s">
        <v>2084</v>
      </c>
      <c r="F69" t="s">
        <v>2071</v>
      </c>
      <c r="G69" s="2">
        <v>46089</v>
      </c>
      <c r="H69" t="s">
        <v>2068</v>
      </c>
    </row>
    <row r="70" spans="1:8" x14ac:dyDescent="0.25">
      <c r="A70" t="s">
        <v>2147</v>
      </c>
      <c r="B70" t="s">
        <v>1238</v>
      </c>
      <c r="C70" t="s">
        <v>75</v>
      </c>
      <c r="D70" s="2">
        <v>46300</v>
      </c>
      <c r="E70" t="s">
        <v>2080</v>
      </c>
      <c r="F70" t="s">
        <v>1573</v>
      </c>
      <c r="H70" t="s">
        <v>2078</v>
      </c>
    </row>
    <row r="71" spans="1:8" x14ac:dyDescent="0.25">
      <c r="A71" t="s">
        <v>2148</v>
      </c>
      <c r="B71" t="s">
        <v>1031</v>
      </c>
      <c r="C71" t="s">
        <v>138</v>
      </c>
      <c r="D71" s="2">
        <v>46076</v>
      </c>
      <c r="E71" t="s">
        <v>2067</v>
      </c>
      <c r="F71" t="s">
        <v>2071</v>
      </c>
      <c r="G71" s="2">
        <v>46077</v>
      </c>
      <c r="H71" t="s">
        <v>2078</v>
      </c>
    </row>
  </sheetData>
  <autoFilter ref="A1:H7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23" customWidth="1"/>
    <col min="2" max="2" width="27" customWidth="1"/>
    <col min="3" max="3" width="92.140625" bestFit="1" customWidth="1"/>
  </cols>
  <sheetData>
    <row r="1" spans="1:3" ht="27.95" customHeight="1" x14ac:dyDescent="0.25">
      <c r="A1" s="1" t="s">
        <v>2149</v>
      </c>
      <c r="B1" s="1" t="s">
        <v>2150</v>
      </c>
      <c r="C1" s="1" t="s">
        <v>2151</v>
      </c>
    </row>
    <row r="2" spans="1:3" x14ac:dyDescent="0.25">
      <c r="A2" t="s">
        <v>2152</v>
      </c>
      <c r="B2" t="s">
        <v>0</v>
      </c>
      <c r="C2" t="s">
        <v>2153</v>
      </c>
    </row>
    <row r="3" spans="1:3" x14ac:dyDescent="0.25">
      <c r="A3" t="s">
        <v>2152</v>
      </c>
      <c r="B3" t="s">
        <v>1</v>
      </c>
      <c r="C3" t="s">
        <v>2154</v>
      </c>
    </row>
    <row r="4" spans="1:3" x14ac:dyDescent="0.25">
      <c r="A4" t="s">
        <v>2152</v>
      </c>
      <c r="B4" t="s">
        <v>2</v>
      </c>
      <c r="C4" t="s">
        <v>2155</v>
      </c>
    </row>
    <row r="5" spans="1:3" x14ac:dyDescent="0.25">
      <c r="A5" t="s">
        <v>2152</v>
      </c>
      <c r="B5" t="s">
        <v>6</v>
      </c>
      <c r="C5" t="s">
        <v>2156</v>
      </c>
    </row>
    <row r="6" spans="1:3" x14ac:dyDescent="0.25">
      <c r="A6" t="s">
        <v>2152</v>
      </c>
      <c r="B6" t="s">
        <v>5</v>
      </c>
      <c r="C6" t="s">
        <v>2157</v>
      </c>
    </row>
    <row r="7" spans="1:3" x14ac:dyDescent="0.25">
      <c r="A7" t="s">
        <v>2158</v>
      </c>
      <c r="B7" t="s">
        <v>0</v>
      </c>
      <c r="C7" t="s">
        <v>2159</v>
      </c>
    </row>
    <row r="8" spans="1:3" x14ac:dyDescent="0.25">
      <c r="A8" t="s">
        <v>2158</v>
      </c>
      <c r="B8" t="s">
        <v>1568</v>
      </c>
      <c r="C8" t="s">
        <v>2160</v>
      </c>
    </row>
    <row r="9" spans="1:3" x14ac:dyDescent="0.25">
      <c r="A9" t="s">
        <v>2158</v>
      </c>
      <c r="B9" t="s">
        <v>1567</v>
      </c>
      <c r="C9" t="s">
        <v>2161</v>
      </c>
    </row>
    <row r="10" spans="1:3" x14ac:dyDescent="0.25">
      <c r="A10" t="s">
        <v>2158</v>
      </c>
      <c r="B10" t="s">
        <v>1569</v>
      </c>
      <c r="C10" t="s">
        <v>2162</v>
      </c>
    </row>
    <row r="11" spans="1:3" x14ac:dyDescent="0.25">
      <c r="A11" t="s">
        <v>2163</v>
      </c>
      <c r="B11" t="s">
        <v>2063</v>
      </c>
      <c r="C11" t="s">
        <v>2164</v>
      </c>
    </row>
    <row r="12" spans="1:3" x14ac:dyDescent="0.25">
      <c r="A12" t="s">
        <v>2165</v>
      </c>
      <c r="B12" t="s">
        <v>2008</v>
      </c>
      <c r="C12" t="s">
        <v>2166</v>
      </c>
    </row>
    <row r="13" spans="1:3" x14ac:dyDescent="0.25">
      <c r="A13" t="s">
        <v>2167</v>
      </c>
      <c r="B13" t="s">
        <v>2168</v>
      </c>
      <c r="C13" t="s">
        <v>2169</v>
      </c>
    </row>
  </sheetData>
  <autoFilter ref="A1:C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7BDB-8504-4392-A18E-4855DF91E751}">
  <dimension ref="A3:B10"/>
  <sheetViews>
    <sheetView workbookViewId="0">
      <selection activeCell="P7" sqref="P7"/>
    </sheetView>
  </sheetViews>
  <sheetFormatPr defaultRowHeight="15" x14ac:dyDescent="0.25"/>
  <cols>
    <col min="1" max="1" width="17.42578125" bestFit="1" customWidth="1"/>
    <col min="2" max="2" width="18.5703125" bestFit="1" customWidth="1"/>
  </cols>
  <sheetData>
    <row r="3" spans="1:2" x14ac:dyDescent="0.25">
      <c r="A3" s="28" t="s">
        <v>2177</v>
      </c>
      <c r="B3" t="s">
        <v>2185</v>
      </c>
    </row>
    <row r="4" spans="1:2" x14ac:dyDescent="0.25">
      <c r="A4" s="11" t="s">
        <v>2178</v>
      </c>
      <c r="B4" s="29">
        <v>11</v>
      </c>
    </row>
    <row r="5" spans="1:2" x14ac:dyDescent="0.25">
      <c r="A5" s="11" t="s">
        <v>2179</v>
      </c>
      <c r="B5" s="29">
        <v>48</v>
      </c>
    </row>
    <row r="6" spans="1:2" x14ac:dyDescent="0.25">
      <c r="A6" s="11" t="s">
        <v>2180</v>
      </c>
      <c r="B6" s="29">
        <v>37</v>
      </c>
    </row>
    <row r="7" spans="1:2" x14ac:dyDescent="0.25">
      <c r="A7" s="11" t="s">
        <v>2181</v>
      </c>
      <c r="B7" s="29">
        <v>293</v>
      </c>
    </row>
    <row r="8" spans="1:2" x14ac:dyDescent="0.25">
      <c r="A8" s="11" t="s">
        <v>2182</v>
      </c>
      <c r="B8" s="29">
        <v>37</v>
      </c>
    </row>
    <row r="9" spans="1:2" x14ac:dyDescent="0.25">
      <c r="A9" s="11" t="s">
        <v>2183</v>
      </c>
      <c r="B9" s="29">
        <v>98</v>
      </c>
    </row>
    <row r="10" spans="1:2" x14ac:dyDescent="0.25">
      <c r="A10" s="11" t="s">
        <v>2184</v>
      </c>
      <c r="B10" s="29">
        <v>524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BC00-C379-4403-9DB2-D2812BD901BF}">
  <dimension ref="A3:B9"/>
  <sheetViews>
    <sheetView workbookViewId="0">
      <selection activeCell="O12" sqref="O12"/>
    </sheetView>
  </sheetViews>
  <sheetFormatPr defaultRowHeight="15" x14ac:dyDescent="0.25"/>
  <cols>
    <col min="1" max="1" width="15.140625" bestFit="1" customWidth="1"/>
    <col min="2" max="2" width="18.5703125" bestFit="1" customWidth="1"/>
  </cols>
  <sheetData>
    <row r="3" spans="1:2" x14ac:dyDescent="0.25">
      <c r="A3" s="28" t="s">
        <v>2177</v>
      </c>
      <c r="B3" t="s">
        <v>2185</v>
      </c>
    </row>
    <row r="4" spans="1:2" x14ac:dyDescent="0.25">
      <c r="A4" s="11" t="s">
        <v>1597</v>
      </c>
      <c r="B4" s="29">
        <v>40</v>
      </c>
    </row>
    <row r="5" spans="1:2" x14ac:dyDescent="0.25">
      <c r="A5" s="11" t="s">
        <v>2186</v>
      </c>
      <c r="B5" s="29">
        <v>322</v>
      </c>
    </row>
    <row r="6" spans="1:2" x14ac:dyDescent="0.25">
      <c r="A6" s="11" t="s">
        <v>2187</v>
      </c>
      <c r="B6" s="29">
        <v>13</v>
      </c>
    </row>
    <row r="7" spans="1:2" x14ac:dyDescent="0.25">
      <c r="A7" s="11" t="s">
        <v>1573</v>
      </c>
      <c r="B7" s="29">
        <v>45</v>
      </c>
    </row>
    <row r="8" spans="1:2" x14ac:dyDescent="0.25">
      <c r="A8" s="11" t="s">
        <v>2188</v>
      </c>
      <c r="B8" s="29">
        <v>104</v>
      </c>
    </row>
    <row r="9" spans="1:2" x14ac:dyDescent="0.25">
      <c r="A9" s="11" t="s">
        <v>2184</v>
      </c>
      <c r="B9" s="29">
        <v>524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D4B6-4F19-4304-94BA-A92291001059}">
  <dimension ref="A3:C15"/>
  <sheetViews>
    <sheetView workbookViewId="0">
      <selection activeCell="C7" sqref="C7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11.28515625" bestFit="1" customWidth="1"/>
    <col min="4" max="4" width="7.28515625" bestFit="1" customWidth="1"/>
    <col min="5" max="5" width="11.28515625" bestFit="1" customWidth="1"/>
  </cols>
  <sheetData>
    <row r="3" spans="1:3" x14ac:dyDescent="0.25">
      <c r="A3" s="28" t="s">
        <v>2189</v>
      </c>
      <c r="B3" s="28" t="s">
        <v>2191</v>
      </c>
    </row>
    <row r="4" spans="1:3" x14ac:dyDescent="0.25">
      <c r="A4" s="28" t="s">
        <v>2177</v>
      </c>
      <c r="B4" t="s">
        <v>2190</v>
      </c>
      <c r="C4" t="s">
        <v>2184</v>
      </c>
    </row>
    <row r="5" spans="1:3" x14ac:dyDescent="0.25">
      <c r="A5" s="11" t="s">
        <v>102</v>
      </c>
      <c r="B5" s="32">
        <v>132412.44999999998</v>
      </c>
      <c r="C5" s="32">
        <v>132412.44999999998</v>
      </c>
    </row>
    <row r="6" spans="1:3" x14ac:dyDescent="0.25">
      <c r="A6" s="11" t="s">
        <v>170</v>
      </c>
      <c r="B6" s="32">
        <v>135602.42000000001</v>
      </c>
      <c r="C6" s="32">
        <v>135602.42000000001</v>
      </c>
    </row>
    <row r="7" spans="1:3" x14ac:dyDescent="0.25">
      <c r="A7" s="11" t="s">
        <v>57</v>
      </c>
      <c r="B7" s="32">
        <v>136603.19</v>
      </c>
      <c r="C7" s="32">
        <v>136603.19</v>
      </c>
    </row>
    <row r="8" spans="1:3" x14ac:dyDescent="0.25">
      <c r="A8" s="11" t="s">
        <v>41</v>
      </c>
      <c r="B8" s="32">
        <v>137648.68</v>
      </c>
      <c r="C8" s="32">
        <v>137648.68</v>
      </c>
    </row>
    <row r="9" spans="1:3" x14ac:dyDescent="0.25">
      <c r="A9" s="11" t="s">
        <v>45</v>
      </c>
      <c r="B9" s="32">
        <v>138593.79</v>
      </c>
      <c r="C9" s="32">
        <v>138593.79</v>
      </c>
    </row>
    <row r="10" spans="1:3" x14ac:dyDescent="0.25">
      <c r="A10" s="11" t="s">
        <v>71</v>
      </c>
      <c r="B10" s="32">
        <v>142389.77999999997</v>
      </c>
      <c r="C10" s="32">
        <v>142389.77999999997</v>
      </c>
    </row>
    <row r="11" spans="1:3" x14ac:dyDescent="0.25">
      <c r="A11" s="11" t="s">
        <v>163</v>
      </c>
      <c r="B11" s="32">
        <v>148754.41999999998</v>
      </c>
      <c r="C11" s="32">
        <v>148754.41999999998</v>
      </c>
    </row>
    <row r="12" spans="1:3" x14ac:dyDescent="0.25">
      <c r="A12" s="11" t="s">
        <v>112</v>
      </c>
      <c r="B12" s="32">
        <v>172592.45000000004</v>
      </c>
      <c r="C12" s="32">
        <v>172592.45000000004</v>
      </c>
    </row>
    <row r="13" spans="1:3" x14ac:dyDescent="0.25">
      <c r="A13" s="11" t="s">
        <v>122</v>
      </c>
      <c r="B13" s="32">
        <v>184860.98000000004</v>
      </c>
      <c r="C13" s="32">
        <v>184860.98000000004</v>
      </c>
    </row>
    <row r="14" spans="1:3" x14ac:dyDescent="0.25">
      <c r="A14" s="11" t="s">
        <v>85</v>
      </c>
      <c r="B14" s="32">
        <v>200808.61999999997</v>
      </c>
      <c r="C14" s="32">
        <v>200808.61999999997</v>
      </c>
    </row>
    <row r="15" spans="1:3" x14ac:dyDescent="0.25">
      <c r="A15" s="11" t="s">
        <v>2184</v>
      </c>
      <c r="B15" s="29">
        <v>1530266.7799999996</v>
      </c>
      <c r="C15" s="32">
        <v>1530266.7799999996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4D5F-C928-4F6C-9411-720E2A67DFA3}">
  <dimension ref="A1:S527"/>
  <sheetViews>
    <sheetView topLeftCell="D1" workbookViewId="0">
      <selection activeCell="R3" sqref="R3"/>
    </sheetView>
  </sheetViews>
  <sheetFormatPr defaultRowHeight="15" x14ac:dyDescent="0.25"/>
  <cols>
    <col min="1" max="1" width="16.7109375" customWidth="1"/>
    <col min="2" max="2" width="13.85546875" customWidth="1"/>
    <col min="3" max="3" width="17.85546875" customWidth="1"/>
    <col min="4" max="4" width="14" customWidth="1"/>
    <col min="5" max="6" width="18.28515625" bestFit="1" customWidth="1"/>
    <col min="7" max="7" width="18" customWidth="1"/>
    <col min="8" max="8" width="14.85546875" customWidth="1"/>
    <col min="9" max="9" width="16" customWidth="1"/>
    <col min="10" max="10" width="23.7109375" customWidth="1"/>
    <col min="11" max="11" width="17.42578125" customWidth="1"/>
    <col min="12" max="12" width="15.5703125" customWidth="1"/>
    <col min="13" max="13" width="16.85546875" customWidth="1"/>
    <col min="14" max="14" width="12" customWidth="1"/>
    <col min="15" max="15" width="20.140625" customWidth="1"/>
    <col min="16" max="16" width="16.5703125" customWidth="1"/>
    <col min="17" max="17" width="17" bestFit="1" customWidth="1"/>
    <col min="18" max="18" width="11.140625" bestFit="1" customWidth="1"/>
  </cols>
  <sheetData>
    <row r="1" spans="1:18" s="3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2171</v>
      </c>
      <c r="M1" s="24" t="s">
        <v>2172</v>
      </c>
      <c r="N1" s="24" t="s">
        <v>2173</v>
      </c>
      <c r="O1" s="24" t="s">
        <v>2174</v>
      </c>
      <c r="P1" s="25" t="s">
        <v>2175</v>
      </c>
      <c r="Q1" s="27" t="s">
        <v>2176</v>
      </c>
      <c r="R1" s="27" t="s">
        <v>2170</v>
      </c>
    </row>
    <row r="2" spans="1:18" x14ac:dyDescent="0.25">
      <c r="A2" s="15" t="s">
        <v>11</v>
      </c>
      <c r="B2" s="16" t="s">
        <v>12</v>
      </c>
      <c r="C2" s="16" t="s">
        <v>13</v>
      </c>
      <c r="D2" s="16" t="s">
        <v>14</v>
      </c>
      <c r="E2" s="17">
        <v>46259</v>
      </c>
      <c r="F2" s="17">
        <v>46274</v>
      </c>
      <c r="G2" s="16">
        <v>9560.85</v>
      </c>
      <c r="H2" s="16" t="s">
        <v>15</v>
      </c>
      <c r="I2" s="16" t="s">
        <v>16</v>
      </c>
      <c r="J2" s="16" t="s">
        <v>17</v>
      </c>
      <c r="K2" s="16" t="s">
        <v>18</v>
      </c>
      <c r="L2" t="str">
        <f>IF(COUNTIFS($B:$B,B2,$C:$C,C2)&gt;1,"Duplicate","Unique")</f>
        <v>Unique</v>
      </c>
      <c r="M2" s="8" t="str">
        <f>IF(COUNTIF(Payments_Raw!$B:$B,A2)=0,"Unpaid",IF(N2&gt;=G2,"Paid",IF(N2&gt;0,"Partial Payment",IF(COUNTIFS(Payments_Raw!$B:$B,A2,Payments_Raw!$F:$F,"Failed")&gt;0,"Failed",IF(COUNTIFS(Payments_Raw!$B:$B,A2,Payments_Raw!$F:$F,"Pending")&gt;0,"Pending","Unpaid")))))</f>
        <v>Unpaid</v>
      </c>
      <c r="N2" s="8">
        <f>SUMIFS(Payments_Raw!$E:$E,Payments_Raw!$B:$B,A2,Payments_Raw!$F:$F,"Successful")</f>
        <v>0</v>
      </c>
      <c r="O2" s="26">
        <f>G2-N2</f>
        <v>9560.85</v>
      </c>
      <c r="P2" s="9" t="str">
        <f>IF(L2="Duplicate","Duplicate Invoice",IF(M2="Failed","Failed Payment",IF(M2="Pending","Pending Payment",IF(M2="Unpaid","Unpaid Invoice",IF(M2="Partial Payment","Amount Mismatch","No Exception")))))</f>
        <v>Unpaid Invoice</v>
      </c>
      <c r="Q2" s="14" t="str">
        <f>IF(AND(G2&lt;DATE(2026,10,14),M2&lt;&gt;"Paid"),"Overdue","Not Overdue")</f>
        <v>Overdue</v>
      </c>
      <c r="R2" s="14"/>
    </row>
    <row r="3" spans="1:18" x14ac:dyDescent="0.25">
      <c r="A3" s="18" t="s">
        <v>19</v>
      </c>
      <c r="B3" s="8" t="s">
        <v>20</v>
      </c>
      <c r="C3" s="8" t="s">
        <v>21</v>
      </c>
      <c r="D3" s="8" t="s">
        <v>22</v>
      </c>
      <c r="E3" s="19">
        <v>46039</v>
      </c>
      <c r="F3" s="19">
        <v>46054</v>
      </c>
      <c r="G3" s="8">
        <v>20149.54</v>
      </c>
      <c r="H3" s="8" t="s">
        <v>15</v>
      </c>
      <c r="I3" s="8" t="s">
        <v>23</v>
      </c>
      <c r="J3" s="8" t="s">
        <v>17</v>
      </c>
      <c r="K3" s="8" t="s">
        <v>24</v>
      </c>
      <c r="L3" t="str">
        <f t="shared" ref="L3:L66" si="0">IF(COUNTIFS($B:$B,B3,$C:$C,C3)&gt;1,"Duplicate","Unique")</f>
        <v>Unique</v>
      </c>
      <c r="M3" s="8" t="str">
        <f>IF(COUNTIF(Payments_Raw!$B:$B,A3)=0,"Unpaid",IF(N3&gt;=G3,"Paid",IF(N3&gt;0,"Partial Payment",IF(COUNTIFS(Payments_Raw!$B:$B,A3,Payments_Raw!$F:$F,"Failed")&gt;0,"Failed",IF(COUNTIFS(Payments_Raw!$B:$B,A3,Payments_Raw!$F:$F,"Pending")&gt;0,"Pending","Unpaid")))))</f>
        <v>Paid</v>
      </c>
      <c r="N3" s="8">
        <f>SUMIFS(Payments_Raw!$E:$E,Payments_Raw!$B:$B,A3,Payments_Raw!$F:$F,"Successful")</f>
        <v>20149.54</v>
      </c>
      <c r="O3" s="26">
        <f t="shared" ref="O3:O66" si="1">G3-N3</f>
        <v>0</v>
      </c>
      <c r="P3" s="9" t="str">
        <f t="shared" ref="P3:P66" si="2">IF(L3="Duplicate","Duplicate Invoice",IF(M3="Failed","Failed Payment",IF(M3="Pending","Pending Payment",IF(M3="Unpaid","Unpaid Invoice",IF(M3="Partial Payment","Amount Mismatch","No Exception")))))</f>
        <v>No Exception</v>
      </c>
      <c r="Q3" s="14" t="str">
        <f t="shared" ref="Q3:Q66" si="3">IF(AND(G3&lt;DATE(2026,10,14),M3&lt;&gt;"Paid"),"Overdue","Not Overdue")</f>
        <v>Not Overdue</v>
      </c>
      <c r="R3" s="33">
        <f>48/524</f>
        <v>9.1603053435114504E-2</v>
      </c>
    </row>
    <row r="4" spans="1:18" x14ac:dyDescent="0.25">
      <c r="A4" s="18" t="s">
        <v>25</v>
      </c>
      <c r="B4" s="8" t="s">
        <v>26</v>
      </c>
      <c r="C4" s="8" t="s">
        <v>27</v>
      </c>
      <c r="D4" s="8" t="s">
        <v>28</v>
      </c>
      <c r="E4" s="19">
        <v>46131</v>
      </c>
      <c r="F4" s="19">
        <v>46161</v>
      </c>
      <c r="G4" s="8">
        <v>16427.310000000001</v>
      </c>
      <c r="H4" s="8" t="s">
        <v>15</v>
      </c>
      <c r="I4" s="8" t="s">
        <v>29</v>
      </c>
      <c r="J4" s="8" t="s">
        <v>30</v>
      </c>
      <c r="K4" s="8" t="s">
        <v>24</v>
      </c>
      <c r="L4" t="str">
        <f t="shared" si="0"/>
        <v>Unique</v>
      </c>
      <c r="M4" s="8" t="str">
        <f>IF(COUNTIF(Payments_Raw!$B:$B,A4)=0,"Unpaid",IF(N4&gt;=G4,"Paid",IF(N4&gt;0,"Partial Payment",IF(COUNTIFS(Payments_Raw!$B:$B,A4,Payments_Raw!$F:$F,"Failed")&gt;0,"Failed",IF(COUNTIFS(Payments_Raw!$B:$B,A4,Payments_Raw!$F:$F,"Pending")&gt;0,"Pending","Unpaid")))))</f>
        <v>Unpaid</v>
      </c>
      <c r="N4" s="8">
        <f>SUMIFS(Payments_Raw!$E:$E,Payments_Raw!$B:$B,A4,Payments_Raw!$F:$F,"Successful")</f>
        <v>0</v>
      </c>
      <c r="O4" s="26">
        <f t="shared" si="1"/>
        <v>16427.310000000001</v>
      </c>
      <c r="P4" s="9" t="str">
        <f t="shared" si="2"/>
        <v>Unpaid Invoice</v>
      </c>
      <c r="Q4" s="14" t="str">
        <f t="shared" si="3"/>
        <v>Overdue</v>
      </c>
      <c r="R4" s="14">
        <f>COUNTIF(Invoice_Analysis!Q:Q,"Overdue")</f>
        <v>198</v>
      </c>
    </row>
    <row r="5" spans="1:18" x14ac:dyDescent="0.25">
      <c r="A5" s="18" t="s">
        <v>31</v>
      </c>
      <c r="B5" s="8" t="s">
        <v>32</v>
      </c>
      <c r="C5" s="8" t="s">
        <v>33</v>
      </c>
      <c r="D5" s="8" t="s">
        <v>34</v>
      </c>
      <c r="E5" s="19">
        <v>46298</v>
      </c>
      <c r="F5" s="19">
        <v>46328</v>
      </c>
      <c r="G5" s="8">
        <v>6657.01</v>
      </c>
      <c r="H5" s="8" t="s">
        <v>15</v>
      </c>
      <c r="I5" s="8" t="s">
        <v>16</v>
      </c>
      <c r="J5" s="8" t="s">
        <v>17</v>
      </c>
      <c r="K5" s="8" t="s">
        <v>18</v>
      </c>
      <c r="L5" t="str">
        <f t="shared" si="0"/>
        <v>Unique</v>
      </c>
      <c r="M5" s="8" t="str">
        <f>IF(COUNTIF(Payments_Raw!$B:$B,A5)=0,"Unpaid",IF(N5&gt;=G5,"Paid",IF(N5&gt;0,"Partial Payment",IF(COUNTIFS(Payments_Raw!$B:$B,A5,Payments_Raw!$F:$F,"Failed")&gt;0,"Failed",IF(COUNTIFS(Payments_Raw!$B:$B,A5,Payments_Raw!$F:$F,"Pending")&gt;0,"Pending","Unpaid")))))</f>
        <v>Unpaid</v>
      </c>
      <c r="N5" s="8">
        <f>SUMIFS(Payments_Raw!$E:$E,Payments_Raw!$B:$B,A5,Payments_Raw!$F:$F,"Successful")</f>
        <v>0</v>
      </c>
      <c r="O5" s="26">
        <f t="shared" si="1"/>
        <v>6657.01</v>
      </c>
      <c r="P5" s="9" t="str">
        <f t="shared" si="2"/>
        <v>Unpaid Invoice</v>
      </c>
      <c r="Q5" s="14" t="str">
        <f t="shared" si="3"/>
        <v>Overdue</v>
      </c>
      <c r="R5" s="14">
        <f>COUNTIF(Invoice_Analysis!L:L,"Duplicate")</f>
        <v>48</v>
      </c>
    </row>
    <row r="6" spans="1:18" x14ac:dyDescent="0.25">
      <c r="A6" s="18" t="s">
        <v>35</v>
      </c>
      <c r="B6" s="8" t="s">
        <v>36</v>
      </c>
      <c r="C6" s="8" t="s">
        <v>37</v>
      </c>
      <c r="D6" s="8" t="s">
        <v>38</v>
      </c>
      <c r="E6" s="19">
        <v>46275</v>
      </c>
      <c r="F6" s="19">
        <v>46305</v>
      </c>
      <c r="G6" s="8">
        <v>28837.72</v>
      </c>
      <c r="H6" s="8" t="s">
        <v>15</v>
      </c>
      <c r="I6" s="8" t="s">
        <v>39</v>
      </c>
      <c r="J6" s="8" t="s">
        <v>17</v>
      </c>
      <c r="K6" s="8" t="s">
        <v>18</v>
      </c>
      <c r="L6" t="str">
        <f t="shared" si="0"/>
        <v>Unique</v>
      </c>
      <c r="M6" s="8" t="str">
        <f>IF(COUNTIF(Payments_Raw!$B:$B,A6)=0,"Unpaid",IF(N6&gt;=G6,"Paid",IF(N6&gt;0,"Partial Payment",IF(COUNTIFS(Payments_Raw!$B:$B,A6,Payments_Raw!$F:$F,"Failed")&gt;0,"Failed",IF(COUNTIFS(Payments_Raw!$B:$B,A6,Payments_Raw!$F:$F,"Pending")&gt;0,"Pending","Unpaid")))))</f>
        <v>Paid</v>
      </c>
      <c r="N6" s="8">
        <f>SUMIFS(Payments_Raw!$E:$E,Payments_Raw!$B:$B,A6,Payments_Raw!$F:$F,"Successful")</f>
        <v>28837.72</v>
      </c>
      <c r="O6" s="26">
        <f t="shared" si="1"/>
        <v>0</v>
      </c>
      <c r="P6" s="9" t="str">
        <f t="shared" si="2"/>
        <v>No Exception</v>
      </c>
      <c r="Q6" s="14" t="str">
        <f t="shared" si="3"/>
        <v>Not Overdue</v>
      </c>
      <c r="R6" s="14"/>
    </row>
    <row r="7" spans="1:18" x14ac:dyDescent="0.25">
      <c r="A7" s="18" t="s">
        <v>40</v>
      </c>
      <c r="B7" s="8" t="s">
        <v>41</v>
      </c>
      <c r="C7" s="8" t="s">
        <v>42</v>
      </c>
      <c r="D7" s="8" t="s">
        <v>43</v>
      </c>
      <c r="E7" s="19">
        <v>46218</v>
      </c>
      <c r="F7" s="19">
        <v>46233</v>
      </c>
      <c r="G7" s="8">
        <v>14945.7</v>
      </c>
      <c r="H7" s="8" t="s">
        <v>15</v>
      </c>
      <c r="I7" s="8" t="s">
        <v>23</v>
      </c>
      <c r="J7" s="8" t="s">
        <v>30</v>
      </c>
      <c r="K7" s="8" t="s">
        <v>24</v>
      </c>
      <c r="L7" t="str">
        <f t="shared" si="0"/>
        <v>Unique</v>
      </c>
      <c r="M7" s="8" t="str">
        <f>IF(COUNTIF(Payments_Raw!$B:$B,A7)=0,"Unpaid",IF(N7&gt;=G7,"Paid",IF(N7&gt;0,"Partial Payment",IF(COUNTIFS(Payments_Raw!$B:$B,A7,Payments_Raw!$F:$F,"Failed")&gt;0,"Failed",IF(COUNTIFS(Payments_Raw!$B:$B,A7,Payments_Raw!$F:$F,"Pending")&gt;0,"Pending","Unpaid")))))</f>
        <v>Paid</v>
      </c>
      <c r="N7" s="8">
        <f>SUMIFS(Payments_Raw!$E:$E,Payments_Raw!$B:$B,A7,Payments_Raw!$F:$F,"Successful")</f>
        <v>14945.7</v>
      </c>
      <c r="O7" s="26">
        <f t="shared" si="1"/>
        <v>0</v>
      </c>
      <c r="P7" s="9" t="str">
        <f t="shared" si="2"/>
        <v>No Exception</v>
      </c>
      <c r="Q7" s="14" t="str">
        <f t="shared" si="3"/>
        <v>Not Overdue</v>
      </c>
      <c r="R7" s="14"/>
    </row>
    <row r="8" spans="1:18" x14ac:dyDescent="0.25">
      <c r="A8" s="18" t="s">
        <v>44</v>
      </c>
      <c r="B8" s="8" t="s">
        <v>45</v>
      </c>
      <c r="C8" s="8" t="s">
        <v>46</v>
      </c>
      <c r="D8" s="8" t="s">
        <v>47</v>
      </c>
      <c r="E8" s="19">
        <v>46297</v>
      </c>
      <c r="F8" s="19">
        <v>46327</v>
      </c>
      <c r="G8" s="8">
        <v>18801.84</v>
      </c>
      <c r="H8" s="8" t="s">
        <v>15</v>
      </c>
      <c r="I8" s="8" t="s">
        <v>16</v>
      </c>
      <c r="J8" s="8" t="s">
        <v>17</v>
      </c>
      <c r="K8" s="8" t="s">
        <v>18</v>
      </c>
      <c r="L8" t="str">
        <f t="shared" si="0"/>
        <v>Unique</v>
      </c>
      <c r="M8" s="8" t="str">
        <f>IF(COUNTIF(Payments_Raw!$B:$B,A8)=0,"Unpaid",IF(N8&gt;=G8,"Paid",IF(N8&gt;0,"Partial Payment",IF(COUNTIFS(Payments_Raw!$B:$B,A8,Payments_Raw!$F:$F,"Failed")&gt;0,"Failed",IF(COUNTIFS(Payments_Raw!$B:$B,A8,Payments_Raw!$F:$F,"Pending")&gt;0,"Pending","Unpaid")))))</f>
        <v>Paid</v>
      </c>
      <c r="N8" s="8">
        <f>SUMIFS(Payments_Raw!$E:$E,Payments_Raw!$B:$B,A8,Payments_Raw!$F:$F,"Successful")</f>
        <v>18801.84</v>
      </c>
      <c r="O8" s="26">
        <f t="shared" si="1"/>
        <v>0</v>
      </c>
      <c r="P8" s="9" t="str">
        <f t="shared" si="2"/>
        <v>No Exception</v>
      </c>
      <c r="Q8" s="14" t="str">
        <f t="shared" si="3"/>
        <v>Not Overdue</v>
      </c>
      <c r="R8" s="14"/>
    </row>
    <row r="9" spans="1:18" x14ac:dyDescent="0.25">
      <c r="A9" s="18" t="s">
        <v>48</v>
      </c>
      <c r="B9" s="8" t="s">
        <v>49</v>
      </c>
      <c r="C9" s="8" t="s">
        <v>50</v>
      </c>
      <c r="D9" s="8" t="s">
        <v>51</v>
      </c>
      <c r="E9" s="19">
        <v>46279</v>
      </c>
      <c r="F9" s="19">
        <v>46309</v>
      </c>
      <c r="G9" s="8">
        <v>19077.62</v>
      </c>
      <c r="H9" s="8" t="s">
        <v>15</v>
      </c>
      <c r="I9" s="8" t="s">
        <v>16</v>
      </c>
      <c r="J9" s="8" t="s">
        <v>17</v>
      </c>
      <c r="K9" s="8" t="s">
        <v>24</v>
      </c>
      <c r="L9" t="str">
        <f t="shared" si="0"/>
        <v>Unique</v>
      </c>
      <c r="M9" s="8" t="str">
        <f>IF(COUNTIF(Payments_Raw!$B:$B,A9)=0,"Unpaid",IF(N9&gt;=G9,"Paid",IF(N9&gt;0,"Partial Payment",IF(COUNTIFS(Payments_Raw!$B:$B,A9,Payments_Raw!$F:$F,"Failed")&gt;0,"Failed",IF(COUNTIFS(Payments_Raw!$B:$B,A9,Payments_Raw!$F:$F,"Pending")&gt;0,"Pending","Unpaid")))))</f>
        <v>Paid</v>
      </c>
      <c r="N9" s="8">
        <f>SUMIFS(Payments_Raw!$E:$E,Payments_Raw!$B:$B,A9,Payments_Raw!$F:$F,"Successful")</f>
        <v>19077.62</v>
      </c>
      <c r="O9" s="26">
        <f t="shared" si="1"/>
        <v>0</v>
      </c>
      <c r="P9" s="9" t="str">
        <f t="shared" si="2"/>
        <v>No Exception</v>
      </c>
      <c r="Q9" s="14" t="str">
        <f t="shared" si="3"/>
        <v>Not Overdue</v>
      </c>
      <c r="R9" s="14"/>
    </row>
    <row r="10" spans="1:18" x14ac:dyDescent="0.25">
      <c r="A10" s="18" t="s">
        <v>52</v>
      </c>
      <c r="B10" s="8" t="s">
        <v>53</v>
      </c>
      <c r="C10" s="8" t="s">
        <v>54</v>
      </c>
      <c r="D10" s="8" t="s">
        <v>55</v>
      </c>
      <c r="E10" s="19">
        <v>46101</v>
      </c>
      <c r="F10" s="19">
        <v>46131</v>
      </c>
      <c r="G10" s="8">
        <v>9422.98</v>
      </c>
      <c r="H10" s="8" t="s">
        <v>15</v>
      </c>
      <c r="I10" s="8" t="s">
        <v>16</v>
      </c>
      <c r="J10" s="8" t="s">
        <v>17</v>
      </c>
      <c r="K10" s="8" t="s">
        <v>18</v>
      </c>
      <c r="L10" t="str">
        <f t="shared" si="0"/>
        <v>Unique</v>
      </c>
      <c r="M10" s="8" t="str">
        <f>IF(COUNTIF(Payments_Raw!$B:$B,A10)=0,"Unpaid",IF(N10&gt;=G10,"Paid",IF(N10&gt;0,"Partial Payment",IF(COUNTIFS(Payments_Raw!$B:$B,A10,Payments_Raw!$F:$F,"Failed")&gt;0,"Failed",IF(COUNTIFS(Payments_Raw!$B:$B,A10,Payments_Raw!$F:$F,"Pending")&gt;0,"Pending","Unpaid")))))</f>
        <v>Unpaid</v>
      </c>
      <c r="N10" s="8">
        <f>SUMIFS(Payments_Raw!$E:$E,Payments_Raw!$B:$B,A10,Payments_Raw!$F:$F,"Successful")</f>
        <v>0</v>
      </c>
      <c r="O10" s="26">
        <f t="shared" si="1"/>
        <v>9422.98</v>
      </c>
      <c r="P10" s="9" t="str">
        <f t="shared" si="2"/>
        <v>Unpaid Invoice</v>
      </c>
      <c r="Q10" s="14" t="str">
        <f t="shared" si="3"/>
        <v>Overdue</v>
      </c>
      <c r="R10" s="14"/>
    </row>
    <row r="11" spans="1:18" x14ac:dyDescent="0.25">
      <c r="A11" s="18" t="s">
        <v>56</v>
      </c>
      <c r="B11" s="8" t="s">
        <v>57</v>
      </c>
      <c r="C11" s="8" t="s">
        <v>58</v>
      </c>
      <c r="D11" s="8" t="s">
        <v>59</v>
      </c>
      <c r="E11" s="19">
        <v>46180</v>
      </c>
      <c r="F11" s="19">
        <v>46225</v>
      </c>
      <c r="G11" s="8">
        <v>6077.57</v>
      </c>
      <c r="H11" s="8" t="s">
        <v>15</v>
      </c>
      <c r="I11" s="8" t="s">
        <v>29</v>
      </c>
      <c r="J11" s="8" t="s">
        <v>17</v>
      </c>
      <c r="K11" s="8" t="s">
        <v>18</v>
      </c>
      <c r="L11" t="str">
        <f t="shared" si="0"/>
        <v>Unique</v>
      </c>
      <c r="M11" s="8" t="str">
        <f>IF(COUNTIF(Payments_Raw!$B:$B,A11)=0,"Unpaid",IF(N11&gt;=G11,"Paid",IF(N11&gt;0,"Partial Payment",IF(COUNTIFS(Payments_Raw!$B:$B,A11,Payments_Raw!$F:$F,"Failed")&gt;0,"Failed",IF(COUNTIFS(Payments_Raw!$B:$B,A11,Payments_Raw!$F:$F,"Pending")&gt;0,"Pending","Unpaid")))))</f>
        <v>Paid</v>
      </c>
      <c r="N11" s="8">
        <f>SUMIFS(Payments_Raw!$E:$E,Payments_Raw!$B:$B,A11,Payments_Raw!$F:$F,"Successful")</f>
        <v>6077.57</v>
      </c>
      <c r="O11" s="26">
        <f t="shared" si="1"/>
        <v>0</v>
      </c>
      <c r="P11" s="9" t="str">
        <f t="shared" si="2"/>
        <v>No Exception</v>
      </c>
      <c r="Q11" s="14" t="str">
        <f t="shared" si="3"/>
        <v>Not Overdue</v>
      </c>
      <c r="R11" s="14"/>
    </row>
    <row r="12" spans="1:18" x14ac:dyDescent="0.25">
      <c r="A12" s="18" t="s">
        <v>60</v>
      </c>
      <c r="B12" s="8" t="s">
        <v>32</v>
      </c>
      <c r="C12" s="8" t="s">
        <v>61</v>
      </c>
      <c r="D12" s="8" t="s">
        <v>62</v>
      </c>
      <c r="E12" s="19">
        <v>46087</v>
      </c>
      <c r="F12" s="19">
        <v>46117</v>
      </c>
      <c r="G12" s="8">
        <v>3314.38</v>
      </c>
      <c r="H12" s="8" t="s">
        <v>15</v>
      </c>
      <c r="I12" s="8" t="s">
        <v>16</v>
      </c>
      <c r="J12" s="8" t="s">
        <v>17</v>
      </c>
      <c r="K12" s="8" t="s">
        <v>63</v>
      </c>
      <c r="L12" t="str">
        <f t="shared" si="0"/>
        <v>Unique</v>
      </c>
      <c r="M12" s="8" t="str">
        <f>IF(COUNTIF(Payments_Raw!$B:$B,A12)=0,"Unpaid",IF(N12&gt;=G12,"Paid",IF(N12&gt;0,"Partial Payment",IF(COUNTIFS(Payments_Raw!$B:$B,A12,Payments_Raw!$F:$F,"Failed")&gt;0,"Failed",IF(COUNTIFS(Payments_Raw!$B:$B,A12,Payments_Raw!$F:$F,"Pending")&gt;0,"Pending","Unpaid")))))</f>
        <v>Pending</v>
      </c>
      <c r="N12" s="8">
        <f>SUMIFS(Payments_Raw!$E:$E,Payments_Raw!$B:$B,A12,Payments_Raw!$F:$F,"Successful")</f>
        <v>0</v>
      </c>
      <c r="O12" s="26">
        <f t="shared" si="1"/>
        <v>3314.38</v>
      </c>
      <c r="P12" s="9" t="str">
        <f t="shared" si="2"/>
        <v>Pending Payment</v>
      </c>
      <c r="Q12" s="14" t="str">
        <f t="shared" si="3"/>
        <v>Overdue</v>
      </c>
      <c r="R12" s="14"/>
    </row>
    <row r="13" spans="1:18" x14ac:dyDescent="0.25">
      <c r="A13" s="18" t="s">
        <v>64</v>
      </c>
      <c r="B13" s="8" t="s">
        <v>53</v>
      </c>
      <c r="C13" s="8" t="s">
        <v>65</v>
      </c>
      <c r="D13" s="8" t="s">
        <v>66</v>
      </c>
      <c r="E13" s="19">
        <v>46299</v>
      </c>
      <c r="F13" s="19">
        <v>46329</v>
      </c>
      <c r="G13" s="8">
        <v>18911</v>
      </c>
      <c r="H13" s="8" t="s">
        <v>15</v>
      </c>
      <c r="I13" s="8" t="s">
        <v>23</v>
      </c>
      <c r="J13" s="8" t="s">
        <v>17</v>
      </c>
      <c r="K13" s="8" t="s">
        <v>63</v>
      </c>
      <c r="L13" t="str">
        <f t="shared" si="0"/>
        <v>Duplicate</v>
      </c>
      <c r="M13" s="8" t="str">
        <f>IF(COUNTIF(Payments_Raw!$B:$B,A13)=0,"Unpaid",IF(N13&gt;=G13,"Paid",IF(N13&gt;0,"Partial Payment",IF(COUNTIFS(Payments_Raw!$B:$B,A13,Payments_Raw!$F:$F,"Failed")&gt;0,"Failed",IF(COUNTIFS(Payments_Raw!$B:$B,A13,Payments_Raw!$F:$F,"Pending")&gt;0,"Pending","Unpaid")))))</f>
        <v>Partial Payment</v>
      </c>
      <c r="N13" s="8">
        <f>SUMIFS(Payments_Raw!$E:$E,Payments_Raw!$B:$B,A13,Payments_Raw!$F:$F,"Successful")</f>
        <v>17398.12</v>
      </c>
      <c r="O13" s="26">
        <f t="shared" si="1"/>
        <v>1512.880000000001</v>
      </c>
      <c r="P13" s="9" t="str">
        <f t="shared" si="2"/>
        <v>Duplicate Invoice</v>
      </c>
      <c r="Q13" s="14" t="str">
        <f t="shared" si="3"/>
        <v>Overdue</v>
      </c>
      <c r="R13" s="14"/>
    </row>
    <row r="14" spans="1:18" x14ac:dyDescent="0.25">
      <c r="A14" s="18" t="s">
        <v>67</v>
      </c>
      <c r="B14" s="8" t="s">
        <v>36</v>
      </c>
      <c r="C14" s="8" t="s">
        <v>68</v>
      </c>
      <c r="D14" s="8" t="s">
        <v>69</v>
      </c>
      <c r="E14" s="19">
        <v>46254</v>
      </c>
      <c r="F14" s="19">
        <v>46284</v>
      </c>
      <c r="G14" s="8">
        <v>3130.58</v>
      </c>
      <c r="H14" s="8" t="s">
        <v>15</v>
      </c>
      <c r="I14" s="8" t="s">
        <v>16</v>
      </c>
      <c r="J14" s="8" t="s">
        <v>17</v>
      </c>
      <c r="K14" s="8" t="s">
        <v>18</v>
      </c>
      <c r="L14" t="str">
        <f t="shared" si="0"/>
        <v>Unique</v>
      </c>
      <c r="M14" s="8" t="str">
        <f>IF(COUNTIF(Payments_Raw!$B:$B,A14)=0,"Unpaid",IF(N14&gt;=G14,"Paid",IF(N14&gt;0,"Partial Payment",IF(COUNTIFS(Payments_Raw!$B:$B,A14,Payments_Raw!$F:$F,"Failed")&gt;0,"Failed",IF(COUNTIFS(Payments_Raw!$B:$B,A14,Payments_Raw!$F:$F,"Pending")&gt;0,"Pending","Unpaid")))))</f>
        <v>Paid</v>
      </c>
      <c r="N14" s="8">
        <f>SUMIFS(Payments_Raw!$E:$E,Payments_Raw!$B:$B,A14,Payments_Raw!$F:$F,"Successful")</f>
        <v>3130.58</v>
      </c>
      <c r="O14" s="26">
        <f t="shared" si="1"/>
        <v>0</v>
      </c>
      <c r="P14" s="9" t="str">
        <f t="shared" si="2"/>
        <v>No Exception</v>
      </c>
      <c r="Q14" s="14" t="str">
        <f t="shared" si="3"/>
        <v>Not Overdue</v>
      </c>
      <c r="R14" s="14"/>
    </row>
    <row r="15" spans="1:18" x14ac:dyDescent="0.25">
      <c r="A15" s="18" t="s">
        <v>70</v>
      </c>
      <c r="B15" s="8" t="s">
        <v>71</v>
      </c>
      <c r="C15" s="8" t="s">
        <v>72</v>
      </c>
      <c r="D15" s="8" t="s">
        <v>73</v>
      </c>
      <c r="E15" s="19">
        <v>46059</v>
      </c>
      <c r="F15" s="19">
        <v>46074</v>
      </c>
      <c r="G15" s="8">
        <v>27359.01</v>
      </c>
      <c r="H15" s="8" t="s">
        <v>15</v>
      </c>
      <c r="I15" s="8" t="s">
        <v>29</v>
      </c>
      <c r="J15" s="8" t="s">
        <v>17</v>
      </c>
      <c r="K15" s="8" t="s">
        <v>24</v>
      </c>
      <c r="L15" t="str">
        <f t="shared" si="0"/>
        <v>Unique</v>
      </c>
      <c r="M15" s="8" t="str">
        <f>IF(COUNTIF(Payments_Raw!$B:$B,A15)=0,"Unpaid",IF(N15&gt;=G15,"Paid",IF(N15&gt;0,"Partial Payment",IF(COUNTIFS(Payments_Raw!$B:$B,A15,Payments_Raw!$F:$F,"Failed")&gt;0,"Failed",IF(COUNTIFS(Payments_Raw!$B:$B,A15,Payments_Raw!$F:$F,"Pending")&gt;0,"Pending","Unpaid")))))</f>
        <v>Paid</v>
      </c>
      <c r="N15" s="8">
        <f>SUMIFS(Payments_Raw!$E:$E,Payments_Raw!$B:$B,A15,Payments_Raw!$F:$F,"Successful")</f>
        <v>27359.01</v>
      </c>
      <c r="O15" s="26">
        <f t="shared" si="1"/>
        <v>0</v>
      </c>
      <c r="P15" s="9" t="str">
        <f t="shared" si="2"/>
        <v>No Exception</v>
      </c>
      <c r="Q15" s="14" t="str">
        <f t="shared" si="3"/>
        <v>Not Overdue</v>
      </c>
      <c r="R15" s="14"/>
    </row>
    <row r="16" spans="1:18" x14ac:dyDescent="0.25">
      <c r="A16" s="18" t="s">
        <v>74</v>
      </c>
      <c r="B16" s="8" t="s">
        <v>75</v>
      </c>
      <c r="C16" s="8" t="s">
        <v>76</v>
      </c>
      <c r="D16" s="8" t="s">
        <v>77</v>
      </c>
      <c r="E16" s="19">
        <v>46132</v>
      </c>
      <c r="F16" s="19">
        <v>46147</v>
      </c>
      <c r="G16" s="8">
        <v>13536.14</v>
      </c>
      <c r="H16" s="8" t="s">
        <v>15</v>
      </c>
      <c r="I16" s="8" t="s">
        <v>16</v>
      </c>
      <c r="J16" s="8" t="s">
        <v>17</v>
      </c>
      <c r="K16" s="8" t="s">
        <v>63</v>
      </c>
      <c r="L16" t="str">
        <f t="shared" si="0"/>
        <v>Unique</v>
      </c>
      <c r="M16" s="8" t="str">
        <f>IF(COUNTIF(Payments_Raw!$B:$B,A16)=0,"Unpaid",IF(N16&gt;=G16,"Paid",IF(N16&gt;0,"Partial Payment",IF(COUNTIFS(Payments_Raw!$B:$B,A16,Payments_Raw!$F:$F,"Failed")&gt;0,"Failed",IF(COUNTIFS(Payments_Raw!$B:$B,A16,Payments_Raw!$F:$F,"Pending")&gt;0,"Pending","Unpaid")))))</f>
        <v>Paid</v>
      </c>
      <c r="N16" s="8">
        <f>SUMIFS(Payments_Raw!$E:$E,Payments_Raw!$B:$B,A16,Payments_Raw!$F:$F,"Successful")</f>
        <v>13536.14</v>
      </c>
      <c r="O16" s="26">
        <f t="shared" si="1"/>
        <v>0</v>
      </c>
      <c r="P16" s="9" t="str">
        <f t="shared" si="2"/>
        <v>No Exception</v>
      </c>
      <c r="Q16" s="14" t="str">
        <f t="shared" si="3"/>
        <v>Not Overdue</v>
      </c>
      <c r="R16" s="14"/>
    </row>
    <row r="17" spans="1:18" x14ac:dyDescent="0.25">
      <c r="A17" s="18" t="s">
        <v>78</v>
      </c>
      <c r="B17" s="8" t="s">
        <v>53</v>
      </c>
      <c r="C17" s="8" t="s">
        <v>79</v>
      </c>
      <c r="D17" s="8" t="s">
        <v>80</v>
      </c>
      <c r="E17" s="19">
        <v>46071</v>
      </c>
      <c r="F17" s="19">
        <v>46101</v>
      </c>
      <c r="G17" s="8">
        <v>2531.64</v>
      </c>
      <c r="H17" s="8" t="s">
        <v>15</v>
      </c>
      <c r="I17" s="8" t="s">
        <v>16</v>
      </c>
      <c r="J17" s="8" t="s">
        <v>17</v>
      </c>
      <c r="K17" s="8" t="s">
        <v>24</v>
      </c>
      <c r="L17" t="str">
        <f t="shared" si="0"/>
        <v>Unique</v>
      </c>
      <c r="M17" s="8" t="str">
        <f>IF(COUNTIF(Payments_Raw!$B:$B,A17)=0,"Unpaid",IF(N17&gt;=G17,"Paid",IF(N17&gt;0,"Partial Payment",IF(COUNTIFS(Payments_Raw!$B:$B,A17,Payments_Raw!$F:$F,"Failed")&gt;0,"Failed",IF(COUNTIFS(Payments_Raw!$B:$B,A17,Payments_Raw!$F:$F,"Pending")&gt;0,"Pending","Unpaid")))))</f>
        <v>Paid</v>
      </c>
      <c r="N17" s="8">
        <f>SUMIFS(Payments_Raw!$E:$E,Payments_Raw!$B:$B,A17,Payments_Raw!$F:$F,"Successful")</f>
        <v>2531.64</v>
      </c>
      <c r="O17" s="26">
        <f t="shared" si="1"/>
        <v>0</v>
      </c>
      <c r="P17" s="9" t="str">
        <f t="shared" si="2"/>
        <v>No Exception</v>
      </c>
      <c r="Q17" s="14" t="str">
        <f t="shared" si="3"/>
        <v>Not Overdue</v>
      </c>
      <c r="R17" s="14"/>
    </row>
    <row r="18" spans="1:18" x14ac:dyDescent="0.25">
      <c r="A18" s="18" t="s">
        <v>81</v>
      </c>
      <c r="B18" s="8" t="s">
        <v>45</v>
      </c>
      <c r="C18" s="8" t="s">
        <v>82</v>
      </c>
      <c r="D18" s="8" t="s">
        <v>83</v>
      </c>
      <c r="E18" s="19">
        <v>46054</v>
      </c>
      <c r="F18" s="19">
        <v>46084</v>
      </c>
      <c r="G18" s="8">
        <v>10137.219999999999</v>
      </c>
      <c r="H18" s="8" t="s">
        <v>15</v>
      </c>
      <c r="I18" s="8" t="s">
        <v>29</v>
      </c>
      <c r="J18" s="8" t="s">
        <v>17</v>
      </c>
      <c r="K18" s="8" t="s">
        <v>18</v>
      </c>
      <c r="L18" t="str">
        <f t="shared" si="0"/>
        <v>Unique</v>
      </c>
      <c r="M18" s="8" t="str">
        <f>IF(COUNTIF(Payments_Raw!$B:$B,A18)=0,"Unpaid",IF(N18&gt;=G18,"Paid",IF(N18&gt;0,"Partial Payment",IF(COUNTIFS(Payments_Raw!$B:$B,A18,Payments_Raw!$F:$F,"Failed")&gt;0,"Failed",IF(COUNTIFS(Payments_Raw!$B:$B,A18,Payments_Raw!$F:$F,"Pending")&gt;0,"Pending","Unpaid")))))</f>
        <v>Paid</v>
      </c>
      <c r="N18" s="8">
        <f>SUMIFS(Payments_Raw!$E:$E,Payments_Raw!$B:$B,A18,Payments_Raw!$F:$F,"Successful")</f>
        <v>10137.219999999999</v>
      </c>
      <c r="O18" s="26">
        <f t="shared" si="1"/>
        <v>0</v>
      </c>
      <c r="P18" s="9" t="str">
        <f t="shared" si="2"/>
        <v>No Exception</v>
      </c>
      <c r="Q18" s="14" t="str">
        <f t="shared" si="3"/>
        <v>Not Overdue</v>
      </c>
      <c r="R18" s="14"/>
    </row>
    <row r="19" spans="1:18" x14ac:dyDescent="0.25">
      <c r="A19" s="18" t="s">
        <v>84</v>
      </c>
      <c r="B19" s="8" t="s">
        <v>85</v>
      </c>
      <c r="C19" s="8" t="s">
        <v>86</v>
      </c>
      <c r="D19" s="8" t="s">
        <v>87</v>
      </c>
      <c r="E19" s="19">
        <v>46116</v>
      </c>
      <c r="F19" s="19">
        <v>46161</v>
      </c>
      <c r="G19" s="8">
        <v>7050.2</v>
      </c>
      <c r="H19" s="8" t="s">
        <v>15</v>
      </c>
      <c r="I19" s="8" t="s">
        <v>39</v>
      </c>
      <c r="J19" s="8" t="s">
        <v>17</v>
      </c>
      <c r="K19" s="8" t="s">
        <v>18</v>
      </c>
      <c r="L19" t="str">
        <f t="shared" si="0"/>
        <v>Unique</v>
      </c>
      <c r="M19" s="8" t="str">
        <f>IF(COUNTIF(Payments_Raw!$B:$B,A19)=0,"Unpaid",IF(N19&gt;=G19,"Paid",IF(N19&gt;0,"Partial Payment",IF(COUNTIFS(Payments_Raw!$B:$B,A19,Payments_Raw!$F:$F,"Failed")&gt;0,"Failed",IF(COUNTIFS(Payments_Raw!$B:$B,A19,Payments_Raw!$F:$F,"Pending")&gt;0,"Pending","Unpaid")))))</f>
        <v>Failed</v>
      </c>
      <c r="N19" s="8">
        <f>SUMIFS(Payments_Raw!$E:$E,Payments_Raw!$B:$B,A19,Payments_Raw!$F:$F,"Successful")</f>
        <v>0</v>
      </c>
      <c r="O19" s="26">
        <f t="shared" si="1"/>
        <v>7050.2</v>
      </c>
      <c r="P19" s="9" t="str">
        <f t="shared" si="2"/>
        <v>Failed Payment</v>
      </c>
      <c r="Q19" s="14" t="str">
        <f t="shared" si="3"/>
        <v>Overdue</v>
      </c>
      <c r="R19" s="14"/>
    </row>
    <row r="20" spans="1:18" x14ac:dyDescent="0.25">
      <c r="A20" s="18" t="s">
        <v>88</v>
      </c>
      <c r="B20" s="8" t="s">
        <v>89</v>
      </c>
      <c r="C20" s="8" t="s">
        <v>90</v>
      </c>
      <c r="D20" s="8" t="s">
        <v>91</v>
      </c>
      <c r="E20" s="19">
        <v>46299</v>
      </c>
      <c r="F20" s="19">
        <v>46314</v>
      </c>
      <c r="G20" s="8">
        <v>20920.37</v>
      </c>
      <c r="H20" s="8" t="s">
        <v>15</v>
      </c>
      <c r="I20" s="8" t="s">
        <v>16</v>
      </c>
      <c r="J20" s="8" t="s">
        <v>17</v>
      </c>
      <c r="K20" s="8" t="s">
        <v>63</v>
      </c>
      <c r="L20" t="str">
        <f t="shared" si="0"/>
        <v>Unique</v>
      </c>
      <c r="M20" s="8" t="str">
        <f>IF(COUNTIF(Payments_Raw!$B:$B,A20)=0,"Unpaid",IF(N20&gt;=G20,"Paid",IF(N20&gt;0,"Partial Payment",IF(COUNTIFS(Payments_Raw!$B:$B,A20,Payments_Raw!$F:$F,"Failed")&gt;0,"Failed",IF(COUNTIFS(Payments_Raw!$B:$B,A20,Payments_Raw!$F:$F,"Pending")&gt;0,"Pending","Unpaid")))))</f>
        <v>Paid</v>
      </c>
      <c r="N20" s="8">
        <f>SUMIFS(Payments_Raw!$E:$E,Payments_Raw!$B:$B,A20,Payments_Raw!$F:$F,"Successful")</f>
        <v>21547.98</v>
      </c>
      <c r="O20" s="26">
        <f t="shared" si="1"/>
        <v>-627.61000000000058</v>
      </c>
      <c r="P20" s="9" t="str">
        <f t="shared" si="2"/>
        <v>No Exception</v>
      </c>
      <c r="Q20" s="14" t="str">
        <f t="shared" si="3"/>
        <v>Not Overdue</v>
      </c>
      <c r="R20" s="14"/>
    </row>
    <row r="21" spans="1:18" x14ac:dyDescent="0.25">
      <c r="A21" s="18" t="s">
        <v>92</v>
      </c>
      <c r="B21" s="8" t="s">
        <v>89</v>
      </c>
      <c r="C21" s="8" t="s">
        <v>93</v>
      </c>
      <c r="D21" s="8" t="s">
        <v>94</v>
      </c>
      <c r="E21" s="19">
        <v>46107</v>
      </c>
      <c r="F21" s="19">
        <v>46122</v>
      </c>
      <c r="G21" s="8">
        <v>9548.85</v>
      </c>
      <c r="H21" s="8" t="s">
        <v>15</v>
      </c>
      <c r="I21" s="8" t="s">
        <v>39</v>
      </c>
      <c r="J21" s="8" t="s">
        <v>17</v>
      </c>
      <c r="K21" s="8" t="s">
        <v>24</v>
      </c>
      <c r="L21" t="str">
        <f t="shared" si="0"/>
        <v>Unique</v>
      </c>
      <c r="M21" s="8" t="str">
        <f>IF(COUNTIF(Payments_Raw!$B:$B,A21)=0,"Unpaid",IF(N21&gt;=G21,"Paid",IF(N21&gt;0,"Partial Payment",IF(COUNTIFS(Payments_Raw!$B:$B,A21,Payments_Raw!$F:$F,"Failed")&gt;0,"Failed",IF(COUNTIFS(Payments_Raw!$B:$B,A21,Payments_Raw!$F:$F,"Pending")&gt;0,"Pending","Unpaid")))))</f>
        <v>Unpaid</v>
      </c>
      <c r="N21" s="8">
        <f>SUMIFS(Payments_Raw!$E:$E,Payments_Raw!$B:$B,A21,Payments_Raw!$F:$F,"Successful")</f>
        <v>0</v>
      </c>
      <c r="O21" s="26">
        <f t="shared" si="1"/>
        <v>9548.85</v>
      </c>
      <c r="P21" s="9" t="str">
        <f t="shared" si="2"/>
        <v>Unpaid Invoice</v>
      </c>
      <c r="Q21" s="14" t="str">
        <f t="shared" si="3"/>
        <v>Overdue</v>
      </c>
      <c r="R21" s="14"/>
    </row>
    <row r="22" spans="1:18" x14ac:dyDescent="0.25">
      <c r="A22" s="18" t="s">
        <v>95</v>
      </c>
      <c r="B22" s="8" t="s">
        <v>32</v>
      </c>
      <c r="C22" s="8" t="s">
        <v>96</v>
      </c>
      <c r="D22" s="8" t="s">
        <v>97</v>
      </c>
      <c r="E22" s="19">
        <v>46272</v>
      </c>
      <c r="F22" s="19">
        <v>46302</v>
      </c>
      <c r="G22" s="8">
        <v>3971.35</v>
      </c>
      <c r="H22" s="8" t="s">
        <v>15</v>
      </c>
      <c r="I22" s="8" t="s">
        <v>39</v>
      </c>
      <c r="J22" s="8" t="s">
        <v>30</v>
      </c>
      <c r="K22" s="8" t="s">
        <v>63</v>
      </c>
      <c r="L22" t="str">
        <f t="shared" si="0"/>
        <v>Unique</v>
      </c>
      <c r="M22" s="8" t="str">
        <f>IF(COUNTIF(Payments_Raw!$B:$B,A22)=0,"Unpaid",IF(N22&gt;=G22,"Paid",IF(N22&gt;0,"Partial Payment",IF(COUNTIFS(Payments_Raw!$B:$B,A22,Payments_Raw!$F:$F,"Failed")&gt;0,"Failed",IF(COUNTIFS(Payments_Raw!$B:$B,A22,Payments_Raw!$F:$F,"Pending")&gt;0,"Pending","Unpaid")))))</f>
        <v>Paid</v>
      </c>
      <c r="N22" s="8">
        <f>SUMIFS(Payments_Raw!$E:$E,Payments_Raw!$B:$B,A22,Payments_Raw!$F:$F,"Successful")</f>
        <v>3971.35</v>
      </c>
      <c r="O22" s="26">
        <f t="shared" si="1"/>
        <v>0</v>
      </c>
      <c r="P22" s="9" t="str">
        <f t="shared" si="2"/>
        <v>No Exception</v>
      </c>
      <c r="Q22" s="14" t="str">
        <f t="shared" si="3"/>
        <v>Not Overdue</v>
      </c>
      <c r="R22" s="14"/>
    </row>
    <row r="23" spans="1:18" x14ac:dyDescent="0.25">
      <c r="A23" s="18" t="s">
        <v>98</v>
      </c>
      <c r="B23" s="8" t="s">
        <v>89</v>
      </c>
      <c r="C23" s="8" t="s">
        <v>99</v>
      </c>
      <c r="D23" s="8" t="s">
        <v>100</v>
      </c>
      <c r="E23" s="19">
        <v>46048</v>
      </c>
      <c r="F23" s="19">
        <v>46063</v>
      </c>
      <c r="G23" s="8">
        <v>14654.34</v>
      </c>
      <c r="H23" s="8" t="s">
        <v>15</v>
      </c>
      <c r="I23" s="8" t="s">
        <v>29</v>
      </c>
      <c r="J23" s="8" t="s">
        <v>17</v>
      </c>
      <c r="K23" s="8" t="s">
        <v>18</v>
      </c>
      <c r="L23" t="str">
        <f t="shared" si="0"/>
        <v>Unique</v>
      </c>
      <c r="M23" s="8" t="str">
        <f>IF(COUNTIF(Payments_Raw!$B:$B,A23)=0,"Unpaid",IF(N23&gt;=G23,"Paid",IF(N23&gt;0,"Partial Payment",IF(COUNTIFS(Payments_Raw!$B:$B,A23,Payments_Raw!$F:$F,"Failed")&gt;0,"Failed",IF(COUNTIFS(Payments_Raw!$B:$B,A23,Payments_Raw!$F:$F,"Pending")&gt;0,"Pending","Unpaid")))))</f>
        <v>Paid</v>
      </c>
      <c r="N23" s="8">
        <f>SUMIFS(Payments_Raw!$E:$E,Payments_Raw!$B:$B,A23,Payments_Raw!$F:$F,"Successful")</f>
        <v>14654.34</v>
      </c>
      <c r="O23" s="26">
        <f t="shared" si="1"/>
        <v>0</v>
      </c>
      <c r="P23" s="9" t="str">
        <f t="shared" si="2"/>
        <v>No Exception</v>
      </c>
      <c r="Q23" s="14" t="str">
        <f t="shared" si="3"/>
        <v>Not Overdue</v>
      </c>
      <c r="R23" s="14"/>
    </row>
    <row r="24" spans="1:18" x14ac:dyDescent="0.25">
      <c r="A24" s="18" t="s">
        <v>101</v>
      </c>
      <c r="B24" s="8" t="s">
        <v>102</v>
      </c>
      <c r="C24" s="8" t="s">
        <v>103</v>
      </c>
      <c r="D24" s="8" t="s">
        <v>104</v>
      </c>
      <c r="E24" s="19">
        <v>46057</v>
      </c>
      <c r="F24" s="19">
        <v>46102</v>
      </c>
      <c r="G24" s="8">
        <v>16919.29</v>
      </c>
      <c r="H24" s="8" t="s">
        <v>15</v>
      </c>
      <c r="I24" s="8" t="s">
        <v>16</v>
      </c>
      <c r="J24" s="8" t="s">
        <v>17</v>
      </c>
      <c r="K24" s="8" t="s">
        <v>24</v>
      </c>
      <c r="L24" t="str">
        <f t="shared" si="0"/>
        <v>Duplicate</v>
      </c>
      <c r="M24" s="8" t="str">
        <f>IF(COUNTIF(Payments_Raw!$B:$B,A24)=0,"Unpaid",IF(N24&gt;=G24,"Paid",IF(N24&gt;0,"Partial Payment",IF(COUNTIFS(Payments_Raw!$B:$B,A24,Payments_Raw!$F:$F,"Failed")&gt;0,"Failed",IF(COUNTIFS(Payments_Raw!$B:$B,A24,Payments_Raw!$F:$F,"Pending")&gt;0,"Pending","Unpaid")))))</f>
        <v>Unpaid</v>
      </c>
      <c r="N24" s="8">
        <f>SUMIFS(Payments_Raw!$E:$E,Payments_Raw!$B:$B,A24,Payments_Raw!$F:$F,"Successful")</f>
        <v>0</v>
      </c>
      <c r="O24" s="26">
        <f t="shared" si="1"/>
        <v>16919.29</v>
      </c>
      <c r="P24" s="9" t="str">
        <f t="shared" si="2"/>
        <v>Duplicate Invoice</v>
      </c>
      <c r="Q24" s="14" t="str">
        <f t="shared" si="3"/>
        <v>Overdue</v>
      </c>
      <c r="R24" s="14"/>
    </row>
    <row r="25" spans="1:18" x14ac:dyDescent="0.25">
      <c r="A25" s="18" t="s">
        <v>105</v>
      </c>
      <c r="B25" s="8" t="s">
        <v>102</v>
      </c>
      <c r="C25" s="8" t="s">
        <v>106</v>
      </c>
      <c r="D25" s="8" t="s">
        <v>107</v>
      </c>
      <c r="E25" s="19">
        <v>46237</v>
      </c>
      <c r="F25" s="19">
        <v>46282</v>
      </c>
      <c r="G25" s="8">
        <v>16475.439999999999</v>
      </c>
      <c r="H25" s="8" t="s">
        <v>15</v>
      </c>
      <c r="I25" s="8" t="s">
        <v>16</v>
      </c>
      <c r="J25" s="8" t="s">
        <v>17</v>
      </c>
      <c r="K25" s="8" t="s">
        <v>18</v>
      </c>
      <c r="L25" t="str">
        <f t="shared" si="0"/>
        <v>Unique</v>
      </c>
      <c r="M25" s="8" t="str">
        <f>IF(COUNTIF(Payments_Raw!$B:$B,A25)=0,"Unpaid",IF(N25&gt;=G25,"Paid",IF(N25&gt;0,"Partial Payment",IF(COUNTIFS(Payments_Raw!$B:$B,A25,Payments_Raw!$F:$F,"Failed")&gt;0,"Failed",IF(COUNTIFS(Payments_Raw!$B:$B,A25,Payments_Raw!$F:$F,"Pending")&gt;0,"Pending","Unpaid")))))</f>
        <v>Failed</v>
      </c>
      <c r="N25" s="8">
        <f>SUMIFS(Payments_Raw!$E:$E,Payments_Raw!$B:$B,A25,Payments_Raw!$F:$F,"Successful")</f>
        <v>0</v>
      </c>
      <c r="O25" s="26">
        <f t="shared" si="1"/>
        <v>16475.439999999999</v>
      </c>
      <c r="P25" s="9" t="str">
        <f t="shared" si="2"/>
        <v>Failed Payment</v>
      </c>
      <c r="Q25" s="14" t="str">
        <f t="shared" si="3"/>
        <v>Overdue</v>
      </c>
      <c r="R25" s="14"/>
    </row>
    <row r="26" spans="1:18" x14ac:dyDescent="0.25">
      <c r="A26" s="18" t="s">
        <v>108</v>
      </c>
      <c r="B26" s="8" t="s">
        <v>49</v>
      </c>
      <c r="C26" s="8" t="s">
        <v>109</v>
      </c>
      <c r="D26" s="8" t="s">
        <v>110</v>
      </c>
      <c r="E26" s="19">
        <v>46225</v>
      </c>
      <c r="F26" s="19">
        <v>46255</v>
      </c>
      <c r="G26" s="8">
        <v>3376.25</v>
      </c>
      <c r="H26" s="8" t="s">
        <v>15</v>
      </c>
      <c r="I26" s="8" t="s">
        <v>23</v>
      </c>
      <c r="J26" s="8" t="s">
        <v>17</v>
      </c>
      <c r="K26" s="8" t="s">
        <v>18</v>
      </c>
      <c r="L26" t="str">
        <f t="shared" si="0"/>
        <v>Unique</v>
      </c>
      <c r="M26" s="8" t="str">
        <f>IF(COUNTIF(Payments_Raw!$B:$B,A26)=0,"Unpaid",IF(N26&gt;=G26,"Paid",IF(N26&gt;0,"Partial Payment",IF(COUNTIFS(Payments_Raw!$B:$B,A26,Payments_Raw!$F:$F,"Failed")&gt;0,"Failed",IF(COUNTIFS(Payments_Raw!$B:$B,A26,Payments_Raw!$F:$F,"Pending")&gt;0,"Pending","Unpaid")))))</f>
        <v>Paid</v>
      </c>
      <c r="N26" s="8">
        <f>SUMIFS(Payments_Raw!$E:$E,Payments_Raw!$B:$B,A26,Payments_Raw!$F:$F,"Successful")</f>
        <v>3376.25</v>
      </c>
      <c r="O26" s="26">
        <f t="shared" si="1"/>
        <v>0</v>
      </c>
      <c r="P26" s="9" t="str">
        <f t="shared" si="2"/>
        <v>No Exception</v>
      </c>
      <c r="Q26" s="14" t="str">
        <f t="shared" si="3"/>
        <v>Not Overdue</v>
      </c>
      <c r="R26" s="14"/>
    </row>
    <row r="27" spans="1:18" x14ac:dyDescent="0.25">
      <c r="A27" s="18" t="s">
        <v>111</v>
      </c>
      <c r="B27" s="8" t="s">
        <v>112</v>
      </c>
      <c r="C27" s="8" t="s">
        <v>113</v>
      </c>
      <c r="D27" s="8" t="s">
        <v>114</v>
      </c>
      <c r="E27" s="19">
        <v>46074</v>
      </c>
      <c r="F27" s="19">
        <v>46089</v>
      </c>
      <c r="G27" s="8">
        <v>1942.73</v>
      </c>
      <c r="H27" s="8" t="s">
        <v>15</v>
      </c>
      <c r="I27" s="8" t="s">
        <v>23</v>
      </c>
      <c r="J27" s="8" t="s">
        <v>17</v>
      </c>
      <c r="K27" s="8" t="s">
        <v>18</v>
      </c>
      <c r="L27" t="str">
        <f t="shared" si="0"/>
        <v>Unique</v>
      </c>
      <c r="M27" s="8" t="str">
        <f>IF(COUNTIF(Payments_Raw!$B:$B,A27)=0,"Unpaid",IF(N27&gt;=G27,"Paid",IF(N27&gt;0,"Partial Payment",IF(COUNTIFS(Payments_Raw!$B:$B,A27,Payments_Raw!$F:$F,"Failed")&gt;0,"Failed",IF(COUNTIFS(Payments_Raw!$B:$B,A27,Payments_Raw!$F:$F,"Pending")&gt;0,"Pending","Unpaid")))))</f>
        <v>Paid</v>
      </c>
      <c r="N27" s="8">
        <f>SUMIFS(Payments_Raw!$E:$E,Payments_Raw!$B:$B,A27,Payments_Raw!$F:$F,"Successful")</f>
        <v>1942.73</v>
      </c>
      <c r="O27" s="26">
        <f t="shared" si="1"/>
        <v>0</v>
      </c>
      <c r="P27" s="9" t="str">
        <f t="shared" si="2"/>
        <v>No Exception</v>
      </c>
      <c r="Q27" s="14" t="str">
        <f t="shared" si="3"/>
        <v>Not Overdue</v>
      </c>
      <c r="R27" s="14"/>
    </row>
    <row r="28" spans="1:18" x14ac:dyDescent="0.25">
      <c r="A28" s="18" t="s">
        <v>115</v>
      </c>
      <c r="B28" s="8" t="s">
        <v>57</v>
      </c>
      <c r="C28" s="8" t="s">
        <v>116</v>
      </c>
      <c r="D28" s="8" t="s">
        <v>117</v>
      </c>
      <c r="E28" s="19">
        <v>46168</v>
      </c>
      <c r="F28" s="19">
        <v>46213</v>
      </c>
      <c r="G28" s="8">
        <v>4044.74</v>
      </c>
      <c r="H28" s="8" t="s">
        <v>15</v>
      </c>
      <c r="I28" s="8" t="s">
        <v>23</v>
      </c>
      <c r="J28" s="8" t="s">
        <v>17</v>
      </c>
      <c r="K28" s="8" t="s">
        <v>24</v>
      </c>
      <c r="L28" t="str">
        <f t="shared" si="0"/>
        <v>Unique</v>
      </c>
      <c r="M28" s="8" t="str">
        <f>IF(COUNTIF(Payments_Raw!$B:$B,A28)=0,"Unpaid",IF(N28&gt;=G28,"Paid",IF(N28&gt;0,"Partial Payment",IF(COUNTIFS(Payments_Raw!$B:$B,A28,Payments_Raw!$F:$F,"Failed")&gt;0,"Failed",IF(COUNTIFS(Payments_Raw!$B:$B,A28,Payments_Raw!$F:$F,"Pending")&gt;0,"Pending","Unpaid")))))</f>
        <v>Paid</v>
      </c>
      <c r="N28" s="8">
        <f>SUMIFS(Payments_Raw!$E:$E,Payments_Raw!$B:$B,A28,Payments_Raw!$F:$F,"Successful")</f>
        <v>4044.74</v>
      </c>
      <c r="O28" s="26">
        <f t="shared" si="1"/>
        <v>0</v>
      </c>
      <c r="P28" s="9" t="str">
        <f t="shared" si="2"/>
        <v>No Exception</v>
      </c>
      <c r="Q28" s="14" t="str">
        <f t="shared" si="3"/>
        <v>Not Overdue</v>
      </c>
      <c r="R28" s="14"/>
    </row>
    <row r="29" spans="1:18" x14ac:dyDescent="0.25">
      <c r="A29" s="18" t="s">
        <v>118</v>
      </c>
      <c r="B29" s="8" t="s">
        <v>71</v>
      </c>
      <c r="C29" s="8" t="s">
        <v>119</v>
      </c>
      <c r="D29" s="8" t="s">
        <v>120</v>
      </c>
      <c r="E29" s="19">
        <v>46306</v>
      </c>
      <c r="F29" s="19">
        <v>46321</v>
      </c>
      <c r="G29" s="8">
        <v>7568.54</v>
      </c>
      <c r="H29" s="8" t="s">
        <v>15</v>
      </c>
      <c r="I29" s="8" t="s">
        <v>29</v>
      </c>
      <c r="J29" s="8" t="s">
        <v>30</v>
      </c>
      <c r="K29" s="8" t="s">
        <v>24</v>
      </c>
      <c r="L29" t="str">
        <f t="shared" si="0"/>
        <v>Unique</v>
      </c>
      <c r="M29" s="8" t="str">
        <f>IF(COUNTIF(Payments_Raw!$B:$B,A29)=0,"Unpaid",IF(N29&gt;=G29,"Paid",IF(N29&gt;0,"Partial Payment",IF(COUNTIFS(Payments_Raw!$B:$B,A29,Payments_Raw!$F:$F,"Failed")&gt;0,"Failed",IF(COUNTIFS(Payments_Raw!$B:$B,A29,Payments_Raw!$F:$F,"Pending")&gt;0,"Pending","Unpaid")))))</f>
        <v>Paid</v>
      </c>
      <c r="N29" s="8">
        <f>SUMIFS(Payments_Raw!$E:$E,Payments_Raw!$B:$B,A29,Payments_Raw!$F:$F,"Successful")</f>
        <v>7568.54</v>
      </c>
      <c r="O29" s="26">
        <f t="shared" si="1"/>
        <v>0</v>
      </c>
      <c r="P29" s="9" t="str">
        <f t="shared" si="2"/>
        <v>No Exception</v>
      </c>
      <c r="Q29" s="14" t="str">
        <f t="shared" si="3"/>
        <v>Not Overdue</v>
      </c>
      <c r="R29" s="14"/>
    </row>
    <row r="30" spans="1:18" x14ac:dyDescent="0.25">
      <c r="A30" s="18" t="s">
        <v>121</v>
      </c>
      <c r="B30" s="8" t="s">
        <v>122</v>
      </c>
      <c r="C30" s="8" t="s">
        <v>123</v>
      </c>
      <c r="D30" s="8" t="s">
        <v>124</v>
      </c>
      <c r="E30" s="19">
        <v>46162</v>
      </c>
      <c r="F30" s="19">
        <v>46177</v>
      </c>
      <c r="G30" s="8">
        <v>7130.1</v>
      </c>
      <c r="H30" s="8" t="s">
        <v>15</v>
      </c>
      <c r="I30" s="8" t="s">
        <v>39</v>
      </c>
      <c r="J30" s="8" t="s">
        <v>17</v>
      </c>
      <c r="K30" s="8" t="s">
        <v>24</v>
      </c>
      <c r="L30" t="str">
        <f t="shared" si="0"/>
        <v>Unique</v>
      </c>
      <c r="M30" s="8" t="str">
        <f>IF(COUNTIF(Payments_Raw!$B:$B,A30)=0,"Unpaid",IF(N30&gt;=G30,"Paid",IF(N30&gt;0,"Partial Payment",IF(COUNTIFS(Payments_Raw!$B:$B,A30,Payments_Raw!$F:$F,"Failed")&gt;0,"Failed",IF(COUNTIFS(Payments_Raw!$B:$B,A30,Payments_Raw!$F:$F,"Pending")&gt;0,"Pending","Unpaid")))))</f>
        <v>Paid</v>
      </c>
      <c r="N30" s="8">
        <f>SUMIFS(Payments_Raw!$E:$E,Payments_Raw!$B:$B,A30,Payments_Raw!$F:$F,"Successful")</f>
        <v>7130.1</v>
      </c>
      <c r="O30" s="26">
        <f t="shared" si="1"/>
        <v>0</v>
      </c>
      <c r="P30" s="9" t="str">
        <f t="shared" si="2"/>
        <v>No Exception</v>
      </c>
      <c r="Q30" s="14" t="str">
        <f t="shared" si="3"/>
        <v>Not Overdue</v>
      </c>
      <c r="R30" s="14"/>
    </row>
    <row r="31" spans="1:18" x14ac:dyDescent="0.25">
      <c r="A31" s="18" t="s">
        <v>125</v>
      </c>
      <c r="B31" s="8" t="s">
        <v>75</v>
      </c>
      <c r="C31" s="8" t="s">
        <v>126</v>
      </c>
      <c r="D31" s="8" t="s">
        <v>127</v>
      </c>
      <c r="E31" s="19">
        <v>46151</v>
      </c>
      <c r="F31" s="19">
        <v>46166</v>
      </c>
      <c r="G31" s="8">
        <v>22644.77</v>
      </c>
      <c r="H31" s="8" t="s">
        <v>15</v>
      </c>
      <c r="I31" s="8" t="s">
        <v>16</v>
      </c>
      <c r="J31" s="8" t="s">
        <v>17</v>
      </c>
      <c r="K31" s="8" t="s">
        <v>18</v>
      </c>
      <c r="L31" t="str">
        <f t="shared" si="0"/>
        <v>Unique</v>
      </c>
      <c r="M31" s="8" t="str">
        <f>IF(COUNTIF(Payments_Raw!$B:$B,A31)=0,"Unpaid",IF(N31&gt;=G31,"Paid",IF(N31&gt;0,"Partial Payment",IF(COUNTIFS(Payments_Raw!$B:$B,A31,Payments_Raw!$F:$F,"Failed")&gt;0,"Failed",IF(COUNTIFS(Payments_Raw!$B:$B,A31,Payments_Raw!$F:$F,"Pending")&gt;0,"Pending","Unpaid")))))</f>
        <v>Paid</v>
      </c>
      <c r="N31" s="8">
        <f>SUMIFS(Payments_Raw!$E:$E,Payments_Raw!$B:$B,A31,Payments_Raw!$F:$F,"Successful")</f>
        <v>22644.77</v>
      </c>
      <c r="O31" s="26">
        <f t="shared" si="1"/>
        <v>0</v>
      </c>
      <c r="P31" s="9" t="str">
        <f t="shared" si="2"/>
        <v>No Exception</v>
      </c>
      <c r="Q31" s="14" t="str">
        <f t="shared" si="3"/>
        <v>Not Overdue</v>
      </c>
      <c r="R31" s="14"/>
    </row>
    <row r="32" spans="1:18" x14ac:dyDescent="0.25">
      <c r="A32" s="18" t="s">
        <v>128</v>
      </c>
      <c r="B32" s="8" t="s">
        <v>26</v>
      </c>
      <c r="C32" s="8" t="s">
        <v>129</v>
      </c>
      <c r="D32" s="8" t="s">
        <v>130</v>
      </c>
      <c r="E32" s="19">
        <v>46089</v>
      </c>
      <c r="F32" s="19">
        <v>46119</v>
      </c>
      <c r="G32" s="8">
        <v>15971.38</v>
      </c>
      <c r="H32" s="8" t="s">
        <v>15</v>
      </c>
      <c r="I32" s="8" t="s">
        <v>39</v>
      </c>
      <c r="J32" s="8" t="s">
        <v>17</v>
      </c>
      <c r="K32" s="8" t="s">
        <v>18</v>
      </c>
      <c r="L32" t="str">
        <f t="shared" si="0"/>
        <v>Unique</v>
      </c>
      <c r="M32" s="8" t="str">
        <f>IF(COUNTIF(Payments_Raw!$B:$B,A32)=0,"Unpaid",IF(N32&gt;=G32,"Paid",IF(N32&gt;0,"Partial Payment",IF(COUNTIFS(Payments_Raw!$B:$B,A32,Payments_Raw!$F:$F,"Failed")&gt;0,"Failed",IF(COUNTIFS(Payments_Raw!$B:$B,A32,Payments_Raw!$F:$F,"Pending")&gt;0,"Pending","Unpaid")))))</f>
        <v>Paid</v>
      </c>
      <c r="N32" s="8">
        <f>SUMIFS(Payments_Raw!$E:$E,Payments_Raw!$B:$B,A32,Payments_Raw!$F:$F,"Successful")</f>
        <v>15971.38</v>
      </c>
      <c r="O32" s="26">
        <f t="shared" si="1"/>
        <v>0</v>
      </c>
      <c r="P32" s="9" t="str">
        <f t="shared" si="2"/>
        <v>No Exception</v>
      </c>
      <c r="Q32" s="14" t="str">
        <f t="shared" si="3"/>
        <v>Not Overdue</v>
      </c>
      <c r="R32" s="14"/>
    </row>
    <row r="33" spans="1:18" x14ac:dyDescent="0.25">
      <c r="A33" s="18" t="s">
        <v>131</v>
      </c>
      <c r="B33" s="8" t="s">
        <v>102</v>
      </c>
      <c r="C33" s="8" t="s">
        <v>132</v>
      </c>
      <c r="D33" s="8" t="s">
        <v>133</v>
      </c>
      <c r="E33" s="19">
        <v>46099</v>
      </c>
      <c r="F33" s="19">
        <v>46144</v>
      </c>
      <c r="G33" s="8">
        <v>13694.29</v>
      </c>
      <c r="H33" s="8" t="s">
        <v>15</v>
      </c>
      <c r="I33" s="8" t="s">
        <v>29</v>
      </c>
      <c r="J33" s="8" t="s">
        <v>30</v>
      </c>
      <c r="K33" s="8" t="s">
        <v>63</v>
      </c>
      <c r="L33" t="str">
        <f t="shared" si="0"/>
        <v>Unique</v>
      </c>
      <c r="M33" s="8" t="str">
        <f>IF(COUNTIF(Payments_Raw!$B:$B,A33)=0,"Unpaid",IF(N33&gt;=G33,"Paid",IF(N33&gt;0,"Partial Payment",IF(COUNTIFS(Payments_Raw!$B:$B,A33,Payments_Raw!$F:$F,"Failed")&gt;0,"Failed",IF(COUNTIFS(Payments_Raw!$B:$B,A33,Payments_Raw!$F:$F,"Pending")&gt;0,"Pending","Unpaid")))))</f>
        <v>Paid</v>
      </c>
      <c r="N33" s="8">
        <f>SUMIFS(Payments_Raw!$E:$E,Payments_Raw!$B:$B,A33,Payments_Raw!$F:$F,"Successful")</f>
        <v>13694.29</v>
      </c>
      <c r="O33" s="26">
        <f t="shared" si="1"/>
        <v>0</v>
      </c>
      <c r="P33" s="9" t="str">
        <f t="shared" si="2"/>
        <v>No Exception</v>
      </c>
      <c r="Q33" s="14" t="str">
        <f t="shared" si="3"/>
        <v>Not Overdue</v>
      </c>
      <c r="R33" s="14"/>
    </row>
    <row r="34" spans="1:18" x14ac:dyDescent="0.25">
      <c r="A34" s="18" t="s">
        <v>134</v>
      </c>
      <c r="B34" s="8" t="s">
        <v>57</v>
      </c>
      <c r="C34" s="8" t="s">
        <v>135</v>
      </c>
      <c r="D34" s="8" t="s">
        <v>136</v>
      </c>
      <c r="E34" s="19">
        <v>46043</v>
      </c>
      <c r="F34" s="19">
        <v>46088</v>
      </c>
      <c r="G34" s="8">
        <v>22485.24</v>
      </c>
      <c r="H34" s="8" t="s">
        <v>15</v>
      </c>
      <c r="I34" s="8" t="s">
        <v>29</v>
      </c>
      <c r="J34" s="8" t="s">
        <v>17</v>
      </c>
      <c r="K34" s="8" t="s">
        <v>63</v>
      </c>
      <c r="L34" t="str">
        <f t="shared" si="0"/>
        <v>Unique</v>
      </c>
      <c r="M34" s="8" t="str">
        <f>IF(COUNTIF(Payments_Raw!$B:$B,A34)=0,"Unpaid",IF(N34&gt;=G34,"Paid",IF(N34&gt;0,"Partial Payment",IF(COUNTIFS(Payments_Raw!$B:$B,A34,Payments_Raw!$F:$F,"Failed")&gt;0,"Failed",IF(COUNTIFS(Payments_Raw!$B:$B,A34,Payments_Raw!$F:$F,"Pending")&gt;0,"Pending","Unpaid")))))</f>
        <v>Paid</v>
      </c>
      <c r="N34" s="8">
        <f>SUMIFS(Payments_Raw!$E:$E,Payments_Raw!$B:$B,A34,Payments_Raw!$F:$F,"Successful")</f>
        <v>22485.24</v>
      </c>
      <c r="O34" s="26">
        <f t="shared" si="1"/>
        <v>0</v>
      </c>
      <c r="P34" s="9" t="str">
        <f t="shared" si="2"/>
        <v>No Exception</v>
      </c>
      <c r="Q34" s="14" t="str">
        <f t="shared" si="3"/>
        <v>Not Overdue</v>
      </c>
      <c r="R34" s="14"/>
    </row>
    <row r="35" spans="1:18" x14ac:dyDescent="0.25">
      <c r="A35" s="18" t="s">
        <v>137</v>
      </c>
      <c r="B35" s="8" t="s">
        <v>138</v>
      </c>
      <c r="C35" s="8" t="s">
        <v>139</v>
      </c>
      <c r="D35" s="8" t="s">
        <v>140</v>
      </c>
      <c r="E35" s="19">
        <v>46102</v>
      </c>
      <c r="F35" s="19">
        <v>46147</v>
      </c>
      <c r="G35" s="8">
        <v>23153</v>
      </c>
      <c r="H35" s="8" t="s">
        <v>15</v>
      </c>
      <c r="I35" s="8" t="s">
        <v>39</v>
      </c>
      <c r="J35" s="8" t="s">
        <v>17</v>
      </c>
      <c r="K35" s="8" t="s">
        <v>18</v>
      </c>
      <c r="L35" t="str">
        <f t="shared" si="0"/>
        <v>Unique</v>
      </c>
      <c r="M35" s="8" t="str">
        <f>IF(COUNTIF(Payments_Raw!$B:$B,A35)=0,"Unpaid",IF(N35&gt;=G35,"Paid",IF(N35&gt;0,"Partial Payment",IF(COUNTIFS(Payments_Raw!$B:$B,A35,Payments_Raw!$F:$F,"Failed")&gt;0,"Failed",IF(COUNTIFS(Payments_Raw!$B:$B,A35,Payments_Raw!$F:$F,"Pending")&gt;0,"Pending","Unpaid")))))</f>
        <v>Paid</v>
      </c>
      <c r="N35" s="8">
        <f>SUMIFS(Payments_Raw!$E:$E,Payments_Raw!$B:$B,A35,Payments_Raw!$F:$F,"Successful")</f>
        <v>23153</v>
      </c>
      <c r="O35" s="26">
        <f t="shared" si="1"/>
        <v>0</v>
      </c>
      <c r="P35" s="9" t="str">
        <f t="shared" si="2"/>
        <v>No Exception</v>
      </c>
      <c r="Q35" s="14" t="str">
        <f t="shared" si="3"/>
        <v>Not Overdue</v>
      </c>
      <c r="R35" s="14"/>
    </row>
    <row r="36" spans="1:18" x14ac:dyDescent="0.25">
      <c r="A36" s="18" t="s">
        <v>141</v>
      </c>
      <c r="B36" s="8" t="s">
        <v>12</v>
      </c>
      <c r="C36" s="8" t="s">
        <v>142</v>
      </c>
      <c r="D36" s="8" t="s">
        <v>143</v>
      </c>
      <c r="E36" s="19">
        <v>46193</v>
      </c>
      <c r="F36" s="19">
        <v>46208</v>
      </c>
      <c r="G36" s="8">
        <v>19585.78</v>
      </c>
      <c r="H36" s="8" t="s">
        <v>15</v>
      </c>
      <c r="I36" s="8" t="s">
        <v>39</v>
      </c>
      <c r="J36" s="8" t="s">
        <v>17</v>
      </c>
      <c r="K36" s="8" t="s">
        <v>24</v>
      </c>
      <c r="L36" t="str">
        <f t="shared" si="0"/>
        <v>Unique</v>
      </c>
      <c r="M36" s="8" t="str">
        <f>IF(COUNTIF(Payments_Raw!$B:$B,A36)=0,"Unpaid",IF(N36&gt;=G36,"Paid",IF(N36&gt;0,"Partial Payment",IF(COUNTIFS(Payments_Raw!$B:$B,A36,Payments_Raw!$F:$F,"Failed")&gt;0,"Failed",IF(COUNTIFS(Payments_Raw!$B:$B,A36,Payments_Raw!$F:$F,"Pending")&gt;0,"Pending","Unpaid")))))</f>
        <v>Pending</v>
      </c>
      <c r="N36" s="8">
        <f>SUMIFS(Payments_Raw!$E:$E,Payments_Raw!$B:$B,A36,Payments_Raw!$F:$F,"Successful")</f>
        <v>0</v>
      </c>
      <c r="O36" s="26">
        <f t="shared" si="1"/>
        <v>19585.78</v>
      </c>
      <c r="P36" s="9" t="str">
        <f t="shared" si="2"/>
        <v>Pending Payment</v>
      </c>
      <c r="Q36" s="14" t="str">
        <f t="shared" si="3"/>
        <v>Overdue</v>
      </c>
      <c r="R36" s="14"/>
    </row>
    <row r="37" spans="1:18" x14ac:dyDescent="0.25">
      <c r="A37" s="18" t="s">
        <v>144</v>
      </c>
      <c r="B37" s="8" t="s">
        <v>45</v>
      </c>
      <c r="C37" s="8" t="s">
        <v>145</v>
      </c>
      <c r="D37" s="8" t="s">
        <v>146</v>
      </c>
      <c r="E37" s="19">
        <v>46218</v>
      </c>
      <c r="F37" s="19">
        <v>46248</v>
      </c>
      <c r="G37" s="8">
        <v>21819.51</v>
      </c>
      <c r="H37" s="8" t="s">
        <v>15</v>
      </c>
      <c r="I37" s="8" t="s">
        <v>39</v>
      </c>
      <c r="J37" s="8" t="s">
        <v>17</v>
      </c>
      <c r="K37" s="8" t="s">
        <v>63</v>
      </c>
      <c r="L37" t="str">
        <f t="shared" si="0"/>
        <v>Unique</v>
      </c>
      <c r="M37" s="8" t="str">
        <f>IF(COUNTIF(Payments_Raw!$B:$B,A37)=0,"Unpaid",IF(N37&gt;=G37,"Paid",IF(N37&gt;0,"Partial Payment",IF(COUNTIFS(Payments_Raw!$B:$B,A37,Payments_Raw!$F:$F,"Failed")&gt;0,"Failed",IF(COUNTIFS(Payments_Raw!$B:$B,A37,Payments_Raw!$F:$F,"Pending")&gt;0,"Pending","Unpaid")))))</f>
        <v>Failed</v>
      </c>
      <c r="N37" s="8">
        <f>SUMIFS(Payments_Raw!$E:$E,Payments_Raw!$B:$B,A37,Payments_Raw!$F:$F,"Successful")</f>
        <v>0</v>
      </c>
      <c r="O37" s="26">
        <f t="shared" si="1"/>
        <v>21819.51</v>
      </c>
      <c r="P37" s="9" t="str">
        <f t="shared" si="2"/>
        <v>Failed Payment</v>
      </c>
      <c r="Q37" s="14" t="str">
        <f t="shared" si="3"/>
        <v>Overdue</v>
      </c>
      <c r="R37" s="14"/>
    </row>
    <row r="38" spans="1:18" x14ac:dyDescent="0.25">
      <c r="A38" s="18" t="s">
        <v>147</v>
      </c>
      <c r="B38" s="8" t="s">
        <v>20</v>
      </c>
      <c r="C38" s="8" t="s">
        <v>148</v>
      </c>
      <c r="D38" s="8" t="s">
        <v>149</v>
      </c>
      <c r="E38" s="19">
        <v>46137</v>
      </c>
      <c r="F38" s="19">
        <v>46152</v>
      </c>
      <c r="G38" s="8">
        <v>708.77</v>
      </c>
      <c r="H38" s="8" t="s">
        <v>15</v>
      </c>
      <c r="I38" s="8" t="s">
        <v>23</v>
      </c>
      <c r="J38" s="8" t="s">
        <v>17</v>
      </c>
      <c r="K38" s="8" t="s">
        <v>63</v>
      </c>
      <c r="L38" t="str">
        <f t="shared" si="0"/>
        <v>Unique</v>
      </c>
      <c r="M38" s="8" t="str">
        <f>IF(COUNTIF(Payments_Raw!$B:$B,A38)=0,"Unpaid",IF(N38&gt;=G38,"Paid",IF(N38&gt;0,"Partial Payment",IF(COUNTIFS(Payments_Raw!$B:$B,A38,Payments_Raw!$F:$F,"Failed")&gt;0,"Failed",IF(COUNTIFS(Payments_Raw!$B:$B,A38,Payments_Raw!$F:$F,"Pending")&gt;0,"Pending","Unpaid")))))</f>
        <v>Paid</v>
      </c>
      <c r="N38" s="8">
        <f>SUMIFS(Payments_Raw!$E:$E,Payments_Raw!$B:$B,A38,Payments_Raw!$F:$F,"Successful")</f>
        <v>708.77</v>
      </c>
      <c r="O38" s="26">
        <f t="shared" si="1"/>
        <v>0</v>
      </c>
      <c r="P38" s="9" t="str">
        <f t="shared" si="2"/>
        <v>No Exception</v>
      </c>
      <c r="Q38" s="14" t="str">
        <f t="shared" si="3"/>
        <v>Not Overdue</v>
      </c>
      <c r="R38" s="14"/>
    </row>
    <row r="39" spans="1:18" x14ac:dyDescent="0.25">
      <c r="A39" s="18" t="s">
        <v>150</v>
      </c>
      <c r="B39" s="8" t="s">
        <v>57</v>
      </c>
      <c r="C39" s="8" t="s">
        <v>151</v>
      </c>
      <c r="D39" s="8" t="s">
        <v>152</v>
      </c>
      <c r="E39" s="19">
        <v>46283</v>
      </c>
      <c r="F39" s="19">
        <v>46328</v>
      </c>
      <c r="G39" s="8">
        <v>10064</v>
      </c>
      <c r="H39" s="8" t="s">
        <v>15</v>
      </c>
      <c r="I39" s="8" t="s">
        <v>23</v>
      </c>
      <c r="J39" s="8" t="s">
        <v>30</v>
      </c>
      <c r="K39" s="8" t="s">
        <v>63</v>
      </c>
      <c r="L39" t="str">
        <f t="shared" si="0"/>
        <v>Unique</v>
      </c>
      <c r="M39" s="8" t="str">
        <f>IF(COUNTIF(Payments_Raw!$B:$B,A39)=0,"Unpaid",IF(N39&gt;=G39,"Paid",IF(N39&gt;0,"Partial Payment",IF(COUNTIFS(Payments_Raw!$B:$B,A39,Payments_Raw!$F:$F,"Failed")&gt;0,"Failed",IF(COUNTIFS(Payments_Raw!$B:$B,A39,Payments_Raw!$F:$F,"Pending")&gt;0,"Pending","Unpaid")))))</f>
        <v>Failed</v>
      </c>
      <c r="N39" s="8">
        <f>SUMIFS(Payments_Raw!$E:$E,Payments_Raw!$B:$B,A39,Payments_Raw!$F:$F,"Successful")</f>
        <v>0</v>
      </c>
      <c r="O39" s="26">
        <f t="shared" si="1"/>
        <v>10064</v>
      </c>
      <c r="P39" s="9" t="str">
        <f t="shared" si="2"/>
        <v>Failed Payment</v>
      </c>
      <c r="Q39" s="14" t="str">
        <f t="shared" si="3"/>
        <v>Overdue</v>
      </c>
      <c r="R39" s="14"/>
    </row>
    <row r="40" spans="1:18" x14ac:dyDescent="0.25">
      <c r="A40" s="18" t="s">
        <v>153</v>
      </c>
      <c r="B40" s="8" t="s">
        <v>12</v>
      </c>
      <c r="C40" s="8" t="s">
        <v>154</v>
      </c>
      <c r="D40" s="8" t="s">
        <v>155</v>
      </c>
      <c r="E40" s="19">
        <v>46158</v>
      </c>
      <c r="F40" s="19">
        <v>46173</v>
      </c>
      <c r="G40" s="8">
        <v>1071.8399999999999</v>
      </c>
      <c r="H40" s="8" t="s">
        <v>15</v>
      </c>
      <c r="I40" s="8" t="s">
        <v>39</v>
      </c>
      <c r="J40" s="8" t="s">
        <v>17</v>
      </c>
      <c r="K40" s="8" t="s">
        <v>24</v>
      </c>
      <c r="L40" t="str">
        <f t="shared" si="0"/>
        <v>Unique</v>
      </c>
      <c r="M40" s="8" t="str">
        <f>IF(COUNTIF(Payments_Raw!$B:$B,A40)=0,"Unpaid",IF(N40&gt;=G40,"Paid",IF(N40&gt;0,"Partial Payment",IF(COUNTIFS(Payments_Raw!$B:$B,A40,Payments_Raw!$F:$F,"Failed")&gt;0,"Failed",IF(COUNTIFS(Payments_Raw!$B:$B,A40,Payments_Raw!$F:$F,"Pending")&gt;0,"Pending","Unpaid")))))</f>
        <v>Paid</v>
      </c>
      <c r="N40" s="8">
        <f>SUMIFS(Payments_Raw!$E:$E,Payments_Raw!$B:$B,A40,Payments_Raw!$F:$F,"Successful")</f>
        <v>1071.8399999999999</v>
      </c>
      <c r="O40" s="26">
        <f t="shared" si="1"/>
        <v>0</v>
      </c>
      <c r="P40" s="9" t="str">
        <f t="shared" si="2"/>
        <v>No Exception</v>
      </c>
      <c r="Q40" s="14" t="str">
        <f t="shared" si="3"/>
        <v>Not Overdue</v>
      </c>
      <c r="R40" s="14"/>
    </row>
    <row r="41" spans="1:18" x14ac:dyDescent="0.25">
      <c r="A41" s="18" t="s">
        <v>156</v>
      </c>
      <c r="B41" s="8" t="s">
        <v>45</v>
      </c>
      <c r="C41" s="8" t="s">
        <v>157</v>
      </c>
      <c r="D41" s="8" t="s">
        <v>158</v>
      </c>
      <c r="E41" s="19">
        <v>46220</v>
      </c>
      <c r="F41" s="19">
        <v>46250</v>
      </c>
      <c r="G41" s="8">
        <v>22499.68</v>
      </c>
      <c r="H41" s="8" t="s">
        <v>15</v>
      </c>
      <c r="I41" s="8" t="s">
        <v>16</v>
      </c>
      <c r="J41" s="8" t="s">
        <v>17</v>
      </c>
      <c r="K41" s="8" t="s">
        <v>24</v>
      </c>
      <c r="L41" t="str">
        <f t="shared" si="0"/>
        <v>Unique</v>
      </c>
      <c r="M41" s="8" t="str">
        <f>IF(COUNTIF(Payments_Raw!$B:$B,A41)=0,"Unpaid",IF(N41&gt;=G41,"Paid",IF(N41&gt;0,"Partial Payment",IF(COUNTIFS(Payments_Raw!$B:$B,A41,Payments_Raw!$F:$F,"Failed")&gt;0,"Failed",IF(COUNTIFS(Payments_Raw!$B:$B,A41,Payments_Raw!$F:$F,"Pending")&gt;0,"Pending","Unpaid")))))</f>
        <v>Paid</v>
      </c>
      <c r="N41" s="8">
        <f>SUMIFS(Payments_Raw!$E:$E,Payments_Raw!$B:$B,A41,Payments_Raw!$F:$F,"Successful")</f>
        <v>22499.68</v>
      </c>
      <c r="O41" s="26">
        <f t="shared" si="1"/>
        <v>0</v>
      </c>
      <c r="P41" s="9" t="str">
        <f t="shared" si="2"/>
        <v>No Exception</v>
      </c>
      <c r="Q41" s="14" t="str">
        <f t="shared" si="3"/>
        <v>Not Overdue</v>
      </c>
      <c r="R41" s="14"/>
    </row>
    <row r="42" spans="1:18" x14ac:dyDescent="0.25">
      <c r="A42" s="18" t="s">
        <v>159</v>
      </c>
      <c r="B42" s="8" t="s">
        <v>53</v>
      </c>
      <c r="C42" s="8" t="s">
        <v>160</v>
      </c>
      <c r="D42" s="8" t="s">
        <v>161</v>
      </c>
      <c r="E42" s="19">
        <v>46209</v>
      </c>
      <c r="F42" s="19">
        <v>46239</v>
      </c>
      <c r="G42" s="8">
        <v>10850.68</v>
      </c>
      <c r="H42" s="8" t="s">
        <v>15</v>
      </c>
      <c r="I42" s="8" t="s">
        <v>16</v>
      </c>
      <c r="J42" s="8" t="s">
        <v>17</v>
      </c>
      <c r="K42" s="8" t="s">
        <v>24</v>
      </c>
      <c r="L42" t="str">
        <f t="shared" si="0"/>
        <v>Unique</v>
      </c>
      <c r="M42" s="8" t="str">
        <f>IF(COUNTIF(Payments_Raw!$B:$B,A42)=0,"Unpaid",IF(N42&gt;=G42,"Paid",IF(N42&gt;0,"Partial Payment",IF(COUNTIFS(Payments_Raw!$B:$B,A42,Payments_Raw!$F:$F,"Failed")&gt;0,"Failed",IF(COUNTIFS(Payments_Raw!$B:$B,A42,Payments_Raw!$F:$F,"Pending")&gt;0,"Pending","Unpaid")))))</f>
        <v>Paid</v>
      </c>
      <c r="N42" s="8">
        <f>SUMIFS(Payments_Raw!$E:$E,Payments_Raw!$B:$B,A42,Payments_Raw!$F:$F,"Successful")</f>
        <v>10850.68</v>
      </c>
      <c r="O42" s="26">
        <f t="shared" si="1"/>
        <v>0</v>
      </c>
      <c r="P42" s="9" t="str">
        <f t="shared" si="2"/>
        <v>No Exception</v>
      </c>
      <c r="Q42" s="14" t="str">
        <f t="shared" si="3"/>
        <v>Not Overdue</v>
      </c>
      <c r="R42" s="14"/>
    </row>
    <row r="43" spans="1:18" x14ac:dyDescent="0.25">
      <c r="A43" s="18" t="s">
        <v>162</v>
      </c>
      <c r="B43" s="8" t="s">
        <v>163</v>
      </c>
      <c r="C43" s="8" t="s">
        <v>164</v>
      </c>
      <c r="D43" s="8" t="s">
        <v>165</v>
      </c>
      <c r="E43" s="19">
        <v>46282</v>
      </c>
      <c r="F43" s="19">
        <v>46297</v>
      </c>
      <c r="G43" s="8">
        <v>7815</v>
      </c>
      <c r="H43" s="8" t="s">
        <v>15</v>
      </c>
      <c r="I43" s="8" t="s">
        <v>16</v>
      </c>
      <c r="J43" s="8" t="s">
        <v>30</v>
      </c>
      <c r="K43" s="8" t="s">
        <v>63</v>
      </c>
      <c r="L43" t="str">
        <f t="shared" si="0"/>
        <v>Unique</v>
      </c>
      <c r="M43" s="8" t="str">
        <f>IF(COUNTIF(Payments_Raw!$B:$B,A43)=0,"Unpaid",IF(N43&gt;=G43,"Paid",IF(N43&gt;0,"Partial Payment",IF(COUNTIFS(Payments_Raw!$B:$B,A43,Payments_Raw!$F:$F,"Failed")&gt;0,"Failed",IF(COUNTIFS(Payments_Raw!$B:$B,A43,Payments_Raw!$F:$F,"Pending")&gt;0,"Pending","Unpaid")))))</f>
        <v>Paid</v>
      </c>
      <c r="N43" s="8">
        <f>SUMIFS(Payments_Raw!$E:$E,Payments_Raw!$B:$B,A43,Payments_Raw!$F:$F,"Successful")</f>
        <v>7815</v>
      </c>
      <c r="O43" s="26">
        <f t="shared" si="1"/>
        <v>0</v>
      </c>
      <c r="P43" s="9" t="str">
        <f t="shared" si="2"/>
        <v>No Exception</v>
      </c>
      <c r="Q43" s="14" t="str">
        <f t="shared" si="3"/>
        <v>Not Overdue</v>
      </c>
      <c r="R43" s="14"/>
    </row>
    <row r="44" spans="1:18" x14ac:dyDescent="0.25">
      <c r="A44" s="18" t="s">
        <v>166</v>
      </c>
      <c r="B44" s="8" t="s">
        <v>41</v>
      </c>
      <c r="C44" s="8" t="s">
        <v>167</v>
      </c>
      <c r="D44" s="8" t="s">
        <v>168</v>
      </c>
      <c r="E44" s="19">
        <v>46112</v>
      </c>
      <c r="F44" s="19">
        <v>46127</v>
      </c>
      <c r="G44" s="8">
        <v>15434.01</v>
      </c>
      <c r="H44" s="8" t="s">
        <v>15</v>
      </c>
      <c r="I44" s="8" t="s">
        <v>29</v>
      </c>
      <c r="J44" s="8" t="s">
        <v>17</v>
      </c>
      <c r="K44" s="8" t="s">
        <v>63</v>
      </c>
      <c r="L44" t="str">
        <f t="shared" si="0"/>
        <v>Unique</v>
      </c>
      <c r="M44" s="8" t="str">
        <f>IF(COUNTIF(Payments_Raw!$B:$B,A44)=0,"Unpaid",IF(N44&gt;=G44,"Paid",IF(N44&gt;0,"Partial Payment",IF(COUNTIFS(Payments_Raw!$B:$B,A44,Payments_Raw!$F:$F,"Failed")&gt;0,"Failed",IF(COUNTIFS(Payments_Raw!$B:$B,A44,Payments_Raw!$F:$F,"Pending")&gt;0,"Pending","Unpaid")))))</f>
        <v>Unpaid</v>
      </c>
      <c r="N44" s="8">
        <f>SUMIFS(Payments_Raw!$E:$E,Payments_Raw!$B:$B,A44,Payments_Raw!$F:$F,"Successful")</f>
        <v>0</v>
      </c>
      <c r="O44" s="26">
        <f t="shared" si="1"/>
        <v>15434.01</v>
      </c>
      <c r="P44" s="9" t="str">
        <f t="shared" si="2"/>
        <v>Unpaid Invoice</v>
      </c>
      <c r="Q44" s="14" t="str">
        <f t="shared" si="3"/>
        <v>Overdue</v>
      </c>
      <c r="R44" s="14"/>
    </row>
    <row r="45" spans="1:18" x14ac:dyDescent="0.25">
      <c r="A45" s="18" t="s">
        <v>169</v>
      </c>
      <c r="B45" s="8" t="s">
        <v>170</v>
      </c>
      <c r="C45" s="8" t="s">
        <v>171</v>
      </c>
      <c r="D45" s="8" t="s">
        <v>172</v>
      </c>
      <c r="E45" s="19">
        <v>46187</v>
      </c>
      <c r="F45" s="19">
        <v>46217</v>
      </c>
      <c r="G45" s="8">
        <v>11688.91</v>
      </c>
      <c r="H45" s="8" t="s">
        <v>15</v>
      </c>
      <c r="I45" s="8" t="s">
        <v>16</v>
      </c>
      <c r="J45" s="8" t="s">
        <v>17</v>
      </c>
      <c r="K45" s="8" t="s">
        <v>24</v>
      </c>
      <c r="L45" t="str">
        <f t="shared" si="0"/>
        <v>Unique</v>
      </c>
      <c r="M45" s="8" t="str">
        <f>IF(COUNTIF(Payments_Raw!$B:$B,A45)=0,"Unpaid",IF(N45&gt;=G45,"Paid",IF(N45&gt;0,"Partial Payment",IF(COUNTIFS(Payments_Raw!$B:$B,A45,Payments_Raw!$F:$F,"Failed")&gt;0,"Failed",IF(COUNTIFS(Payments_Raw!$B:$B,A45,Payments_Raw!$F:$F,"Pending")&gt;0,"Pending","Unpaid")))))</f>
        <v>Pending</v>
      </c>
      <c r="N45" s="8">
        <f>SUMIFS(Payments_Raw!$E:$E,Payments_Raw!$B:$B,A45,Payments_Raw!$F:$F,"Successful")</f>
        <v>0</v>
      </c>
      <c r="O45" s="26">
        <f t="shared" si="1"/>
        <v>11688.91</v>
      </c>
      <c r="P45" s="9" t="str">
        <f t="shared" si="2"/>
        <v>Pending Payment</v>
      </c>
      <c r="Q45" s="14" t="str">
        <f t="shared" si="3"/>
        <v>Overdue</v>
      </c>
      <c r="R45" s="14"/>
    </row>
    <row r="46" spans="1:18" x14ac:dyDescent="0.25">
      <c r="A46" s="18" t="s">
        <v>173</v>
      </c>
      <c r="B46" s="8" t="s">
        <v>12</v>
      </c>
      <c r="C46" s="8" t="s">
        <v>174</v>
      </c>
      <c r="D46" s="8" t="s">
        <v>175</v>
      </c>
      <c r="E46" s="19">
        <v>46066</v>
      </c>
      <c r="F46" s="19">
        <v>46081</v>
      </c>
      <c r="G46" s="8">
        <v>7180.61</v>
      </c>
      <c r="H46" s="8" t="s">
        <v>15</v>
      </c>
      <c r="I46" s="8" t="s">
        <v>29</v>
      </c>
      <c r="J46" s="8" t="s">
        <v>17</v>
      </c>
      <c r="K46" s="8" t="s">
        <v>18</v>
      </c>
      <c r="L46" t="str">
        <f t="shared" si="0"/>
        <v>Unique</v>
      </c>
      <c r="M46" s="8" t="str">
        <f>IF(COUNTIF(Payments_Raw!$B:$B,A46)=0,"Unpaid",IF(N46&gt;=G46,"Paid",IF(N46&gt;0,"Partial Payment",IF(COUNTIFS(Payments_Raw!$B:$B,A46,Payments_Raw!$F:$F,"Failed")&gt;0,"Failed",IF(COUNTIFS(Payments_Raw!$B:$B,A46,Payments_Raw!$F:$F,"Pending")&gt;0,"Pending","Unpaid")))))</f>
        <v>Paid</v>
      </c>
      <c r="N46" s="8">
        <f>SUMIFS(Payments_Raw!$E:$E,Payments_Raw!$B:$B,A46,Payments_Raw!$F:$F,"Successful")</f>
        <v>7180.61</v>
      </c>
      <c r="O46" s="26">
        <f t="shared" si="1"/>
        <v>0</v>
      </c>
      <c r="P46" s="9" t="str">
        <f t="shared" si="2"/>
        <v>No Exception</v>
      </c>
      <c r="Q46" s="14" t="str">
        <f t="shared" si="3"/>
        <v>Not Overdue</v>
      </c>
      <c r="R46" s="14"/>
    </row>
    <row r="47" spans="1:18" x14ac:dyDescent="0.25">
      <c r="A47" s="18" t="s">
        <v>176</v>
      </c>
      <c r="B47" s="8" t="s">
        <v>163</v>
      </c>
      <c r="C47" s="8" t="s">
        <v>177</v>
      </c>
      <c r="D47" s="8" t="s">
        <v>178</v>
      </c>
      <c r="E47" s="19">
        <v>46138</v>
      </c>
      <c r="F47" s="19">
        <v>46153</v>
      </c>
      <c r="G47" s="8">
        <v>20187.28</v>
      </c>
      <c r="H47" s="8" t="s">
        <v>15</v>
      </c>
      <c r="I47" s="8" t="s">
        <v>23</v>
      </c>
      <c r="J47" s="8" t="s">
        <v>17</v>
      </c>
      <c r="K47" s="8" t="s">
        <v>18</v>
      </c>
      <c r="L47" t="str">
        <f t="shared" si="0"/>
        <v>Unique</v>
      </c>
      <c r="M47" s="8" t="str">
        <f>IF(COUNTIF(Payments_Raw!$B:$B,A47)=0,"Unpaid",IF(N47&gt;=G47,"Paid",IF(N47&gt;0,"Partial Payment",IF(COUNTIFS(Payments_Raw!$B:$B,A47,Payments_Raw!$F:$F,"Failed")&gt;0,"Failed",IF(COUNTIFS(Payments_Raw!$B:$B,A47,Payments_Raw!$F:$F,"Pending")&gt;0,"Pending","Unpaid")))))</f>
        <v>Failed</v>
      </c>
      <c r="N47" s="8">
        <f>SUMIFS(Payments_Raw!$E:$E,Payments_Raw!$B:$B,A47,Payments_Raw!$F:$F,"Successful")</f>
        <v>0</v>
      </c>
      <c r="O47" s="26">
        <f t="shared" si="1"/>
        <v>20187.28</v>
      </c>
      <c r="P47" s="9" t="str">
        <f t="shared" si="2"/>
        <v>Failed Payment</v>
      </c>
      <c r="Q47" s="14" t="str">
        <f t="shared" si="3"/>
        <v>Overdue</v>
      </c>
      <c r="R47" s="14"/>
    </row>
    <row r="48" spans="1:18" x14ac:dyDescent="0.25">
      <c r="A48" s="18" t="s">
        <v>179</v>
      </c>
      <c r="B48" s="8" t="s">
        <v>112</v>
      </c>
      <c r="C48" s="8" t="s">
        <v>180</v>
      </c>
      <c r="D48" s="8" t="s">
        <v>181</v>
      </c>
      <c r="E48" s="19">
        <v>46235</v>
      </c>
      <c r="F48" s="19">
        <v>46250</v>
      </c>
      <c r="G48" s="8">
        <v>22167.09</v>
      </c>
      <c r="H48" s="8" t="s">
        <v>15</v>
      </c>
      <c r="I48" s="8" t="s">
        <v>16</v>
      </c>
      <c r="J48" s="8" t="s">
        <v>17</v>
      </c>
      <c r="K48" s="8" t="s">
        <v>24</v>
      </c>
      <c r="L48" t="str">
        <f t="shared" si="0"/>
        <v>Unique</v>
      </c>
      <c r="M48" s="8" t="str">
        <f>IF(COUNTIF(Payments_Raw!$B:$B,A48)=0,"Unpaid",IF(N48&gt;=G48,"Paid",IF(N48&gt;0,"Partial Payment",IF(COUNTIFS(Payments_Raw!$B:$B,A48,Payments_Raw!$F:$F,"Failed")&gt;0,"Failed",IF(COUNTIFS(Payments_Raw!$B:$B,A48,Payments_Raw!$F:$F,"Pending")&gt;0,"Pending","Unpaid")))))</f>
        <v>Paid</v>
      </c>
      <c r="N48" s="8">
        <f>SUMIFS(Payments_Raw!$E:$E,Payments_Raw!$B:$B,A48,Payments_Raw!$F:$F,"Successful")</f>
        <v>22167.09</v>
      </c>
      <c r="O48" s="26">
        <f t="shared" si="1"/>
        <v>0</v>
      </c>
      <c r="P48" s="9" t="str">
        <f t="shared" si="2"/>
        <v>No Exception</v>
      </c>
      <c r="Q48" s="14" t="str">
        <f t="shared" si="3"/>
        <v>Not Overdue</v>
      </c>
      <c r="R48" s="14"/>
    </row>
    <row r="49" spans="1:18" x14ac:dyDescent="0.25">
      <c r="A49" s="18" t="s">
        <v>182</v>
      </c>
      <c r="B49" s="8" t="s">
        <v>71</v>
      </c>
      <c r="C49" s="8" t="s">
        <v>183</v>
      </c>
      <c r="D49" s="8" t="s">
        <v>184</v>
      </c>
      <c r="E49" s="19">
        <v>46077</v>
      </c>
      <c r="F49" s="19">
        <v>46092</v>
      </c>
      <c r="G49" s="8">
        <v>19487.099999999999</v>
      </c>
      <c r="H49" s="8" t="s">
        <v>15</v>
      </c>
      <c r="I49" s="8" t="s">
        <v>29</v>
      </c>
      <c r="J49" s="8" t="s">
        <v>17</v>
      </c>
      <c r="K49" s="8" t="s">
        <v>18</v>
      </c>
      <c r="L49" t="str">
        <f t="shared" si="0"/>
        <v>Unique</v>
      </c>
      <c r="M49" s="8" t="str">
        <f>IF(COUNTIF(Payments_Raw!$B:$B,A49)=0,"Unpaid",IF(N49&gt;=G49,"Paid",IF(N49&gt;0,"Partial Payment",IF(COUNTIFS(Payments_Raw!$B:$B,A49,Payments_Raw!$F:$F,"Failed")&gt;0,"Failed",IF(COUNTIFS(Payments_Raw!$B:$B,A49,Payments_Raw!$F:$F,"Pending")&gt;0,"Pending","Unpaid")))))</f>
        <v>Unpaid</v>
      </c>
      <c r="N49" s="8">
        <f>SUMIFS(Payments_Raw!$E:$E,Payments_Raw!$B:$B,A49,Payments_Raw!$F:$F,"Successful")</f>
        <v>0</v>
      </c>
      <c r="O49" s="26">
        <f t="shared" si="1"/>
        <v>19487.099999999999</v>
      </c>
      <c r="P49" s="9" t="str">
        <f t="shared" si="2"/>
        <v>Unpaid Invoice</v>
      </c>
      <c r="Q49" s="14" t="str">
        <f t="shared" si="3"/>
        <v>Overdue</v>
      </c>
      <c r="R49" s="14"/>
    </row>
    <row r="50" spans="1:18" x14ac:dyDescent="0.25">
      <c r="A50" s="18" t="s">
        <v>185</v>
      </c>
      <c r="B50" s="8" t="s">
        <v>112</v>
      </c>
      <c r="C50" s="8" t="s">
        <v>186</v>
      </c>
      <c r="D50" s="8" t="s">
        <v>187</v>
      </c>
      <c r="E50" s="19">
        <v>46091</v>
      </c>
      <c r="F50" s="19">
        <v>46106</v>
      </c>
      <c r="G50" s="8">
        <v>20059.25</v>
      </c>
      <c r="H50" s="8" t="s">
        <v>15</v>
      </c>
      <c r="I50" s="8" t="s">
        <v>16</v>
      </c>
      <c r="J50" s="8" t="s">
        <v>17</v>
      </c>
      <c r="K50" s="8" t="s">
        <v>63</v>
      </c>
      <c r="L50" t="str">
        <f t="shared" si="0"/>
        <v>Unique</v>
      </c>
      <c r="M50" s="8" t="str">
        <f>IF(COUNTIF(Payments_Raw!$B:$B,A50)=0,"Unpaid",IF(N50&gt;=G50,"Paid",IF(N50&gt;0,"Partial Payment",IF(COUNTIFS(Payments_Raw!$B:$B,A50,Payments_Raw!$F:$F,"Failed")&gt;0,"Failed",IF(COUNTIFS(Payments_Raw!$B:$B,A50,Payments_Raw!$F:$F,"Pending")&gt;0,"Pending","Unpaid")))))</f>
        <v>Failed</v>
      </c>
      <c r="N50" s="8">
        <f>SUMIFS(Payments_Raw!$E:$E,Payments_Raw!$B:$B,A50,Payments_Raw!$F:$F,"Successful")</f>
        <v>0</v>
      </c>
      <c r="O50" s="26">
        <f t="shared" si="1"/>
        <v>20059.25</v>
      </c>
      <c r="P50" s="9" t="str">
        <f t="shared" si="2"/>
        <v>Failed Payment</v>
      </c>
      <c r="Q50" s="14" t="str">
        <f t="shared" si="3"/>
        <v>Overdue</v>
      </c>
      <c r="R50" s="14"/>
    </row>
    <row r="51" spans="1:18" x14ac:dyDescent="0.25">
      <c r="A51" s="18" t="s">
        <v>188</v>
      </c>
      <c r="B51" s="8" t="s">
        <v>138</v>
      </c>
      <c r="C51" s="8" t="s">
        <v>189</v>
      </c>
      <c r="D51" s="8" t="s">
        <v>190</v>
      </c>
      <c r="E51" s="19">
        <v>46281</v>
      </c>
      <c r="F51" s="19">
        <v>46326</v>
      </c>
      <c r="G51" s="8">
        <v>10737.31</v>
      </c>
      <c r="H51" s="8" t="s">
        <v>15</v>
      </c>
      <c r="I51" s="8" t="s">
        <v>39</v>
      </c>
      <c r="J51" s="8" t="s">
        <v>17</v>
      </c>
      <c r="K51" s="8" t="s">
        <v>63</v>
      </c>
      <c r="L51" t="str">
        <f t="shared" si="0"/>
        <v>Unique</v>
      </c>
      <c r="M51" s="8" t="str">
        <f>IF(COUNTIF(Payments_Raw!$B:$B,A51)=0,"Unpaid",IF(N51&gt;=G51,"Paid",IF(N51&gt;0,"Partial Payment",IF(COUNTIFS(Payments_Raw!$B:$B,A51,Payments_Raw!$F:$F,"Failed")&gt;0,"Failed",IF(COUNTIFS(Payments_Raw!$B:$B,A51,Payments_Raw!$F:$F,"Pending")&gt;0,"Pending","Unpaid")))))</f>
        <v>Unpaid</v>
      </c>
      <c r="N51" s="8">
        <f>SUMIFS(Payments_Raw!$E:$E,Payments_Raw!$B:$B,A51,Payments_Raw!$F:$F,"Successful")</f>
        <v>0</v>
      </c>
      <c r="O51" s="26">
        <f t="shared" si="1"/>
        <v>10737.31</v>
      </c>
      <c r="P51" s="9" t="str">
        <f t="shared" si="2"/>
        <v>Unpaid Invoice</v>
      </c>
      <c r="Q51" s="14" t="str">
        <f t="shared" si="3"/>
        <v>Overdue</v>
      </c>
      <c r="R51" s="14"/>
    </row>
    <row r="52" spans="1:18" x14ac:dyDescent="0.25">
      <c r="A52" s="18" t="s">
        <v>191</v>
      </c>
      <c r="B52" s="8" t="s">
        <v>20</v>
      </c>
      <c r="C52" s="8" t="s">
        <v>192</v>
      </c>
      <c r="D52" s="8" t="s">
        <v>193</v>
      </c>
      <c r="E52" s="19">
        <v>46164</v>
      </c>
      <c r="F52" s="19">
        <v>46179</v>
      </c>
      <c r="G52" s="8">
        <v>19173.439999999999</v>
      </c>
      <c r="H52" s="8" t="s">
        <v>15</v>
      </c>
      <c r="I52" s="8" t="s">
        <v>16</v>
      </c>
      <c r="J52" s="8" t="s">
        <v>30</v>
      </c>
      <c r="K52" s="8" t="s">
        <v>63</v>
      </c>
      <c r="L52" t="str">
        <f t="shared" si="0"/>
        <v>Unique</v>
      </c>
      <c r="M52" s="8" t="str">
        <f>IF(COUNTIF(Payments_Raw!$B:$B,A52)=0,"Unpaid",IF(N52&gt;=G52,"Paid",IF(N52&gt;0,"Partial Payment",IF(COUNTIFS(Payments_Raw!$B:$B,A52,Payments_Raw!$F:$F,"Failed")&gt;0,"Failed",IF(COUNTIFS(Payments_Raw!$B:$B,A52,Payments_Raw!$F:$F,"Pending")&gt;0,"Pending","Unpaid")))))</f>
        <v>Unpaid</v>
      </c>
      <c r="N52" s="8">
        <f>SUMIFS(Payments_Raw!$E:$E,Payments_Raw!$B:$B,A52,Payments_Raw!$F:$F,"Successful")</f>
        <v>0</v>
      </c>
      <c r="O52" s="26">
        <f t="shared" si="1"/>
        <v>19173.439999999999</v>
      </c>
      <c r="P52" s="9" t="str">
        <f t="shared" si="2"/>
        <v>Unpaid Invoice</v>
      </c>
      <c r="Q52" s="14" t="str">
        <f t="shared" si="3"/>
        <v>Overdue</v>
      </c>
      <c r="R52" s="14"/>
    </row>
    <row r="53" spans="1:18" x14ac:dyDescent="0.25">
      <c r="A53" s="18" t="s">
        <v>194</v>
      </c>
      <c r="B53" s="8" t="s">
        <v>20</v>
      </c>
      <c r="C53" s="8" t="s">
        <v>195</v>
      </c>
      <c r="D53" s="8" t="s">
        <v>196</v>
      </c>
      <c r="E53" s="19">
        <v>46162</v>
      </c>
      <c r="F53" s="19">
        <v>46177</v>
      </c>
      <c r="G53" s="8">
        <v>8475.89</v>
      </c>
      <c r="H53" s="8" t="s">
        <v>15</v>
      </c>
      <c r="I53" s="8" t="s">
        <v>29</v>
      </c>
      <c r="J53" s="8" t="s">
        <v>17</v>
      </c>
      <c r="K53" s="8" t="s">
        <v>18</v>
      </c>
      <c r="L53" t="str">
        <f t="shared" si="0"/>
        <v>Unique</v>
      </c>
      <c r="M53" s="8" t="str">
        <f>IF(COUNTIF(Payments_Raw!$B:$B,A53)=0,"Unpaid",IF(N53&gt;=G53,"Paid",IF(N53&gt;0,"Partial Payment",IF(COUNTIFS(Payments_Raw!$B:$B,A53,Payments_Raw!$F:$F,"Failed")&gt;0,"Failed",IF(COUNTIFS(Payments_Raw!$B:$B,A53,Payments_Raw!$F:$F,"Pending")&gt;0,"Pending","Unpaid")))))</f>
        <v>Paid</v>
      </c>
      <c r="N53" s="8">
        <f>SUMIFS(Payments_Raw!$E:$E,Payments_Raw!$B:$B,A53,Payments_Raw!$F:$F,"Successful")</f>
        <v>8475.89</v>
      </c>
      <c r="O53" s="26">
        <f t="shared" si="1"/>
        <v>0</v>
      </c>
      <c r="P53" s="9" t="str">
        <f t="shared" si="2"/>
        <v>No Exception</v>
      </c>
      <c r="Q53" s="14" t="str">
        <f t="shared" si="3"/>
        <v>Not Overdue</v>
      </c>
      <c r="R53" s="14"/>
    </row>
    <row r="54" spans="1:18" x14ac:dyDescent="0.25">
      <c r="A54" s="18" t="s">
        <v>197</v>
      </c>
      <c r="B54" s="8" t="s">
        <v>53</v>
      </c>
      <c r="C54" s="8" t="s">
        <v>198</v>
      </c>
      <c r="D54" s="8" t="s">
        <v>199</v>
      </c>
      <c r="E54" s="19">
        <v>46055</v>
      </c>
      <c r="F54" s="19">
        <v>46085</v>
      </c>
      <c r="G54" s="8">
        <v>10441.91</v>
      </c>
      <c r="H54" s="8" t="s">
        <v>15</v>
      </c>
      <c r="I54" s="8" t="s">
        <v>29</v>
      </c>
      <c r="J54" s="8" t="s">
        <v>17</v>
      </c>
      <c r="K54" s="8" t="s">
        <v>63</v>
      </c>
      <c r="L54" t="str">
        <f t="shared" si="0"/>
        <v>Unique</v>
      </c>
      <c r="M54" s="8" t="str">
        <f>IF(COUNTIF(Payments_Raw!$B:$B,A54)=0,"Unpaid",IF(N54&gt;=G54,"Paid",IF(N54&gt;0,"Partial Payment",IF(COUNTIFS(Payments_Raw!$B:$B,A54,Payments_Raw!$F:$F,"Failed")&gt;0,"Failed",IF(COUNTIFS(Payments_Raw!$B:$B,A54,Payments_Raw!$F:$F,"Pending")&gt;0,"Pending","Unpaid")))))</f>
        <v>Paid</v>
      </c>
      <c r="N54" s="8">
        <f>SUMIFS(Payments_Raw!$E:$E,Payments_Raw!$B:$B,A54,Payments_Raw!$F:$F,"Successful")</f>
        <v>10441.91</v>
      </c>
      <c r="O54" s="26">
        <f t="shared" si="1"/>
        <v>0</v>
      </c>
      <c r="P54" s="9" t="str">
        <f t="shared" si="2"/>
        <v>No Exception</v>
      </c>
      <c r="Q54" s="14" t="str">
        <f t="shared" si="3"/>
        <v>Not Overdue</v>
      </c>
      <c r="R54" s="14"/>
    </row>
    <row r="55" spans="1:18" x14ac:dyDescent="0.25">
      <c r="A55" s="18" t="s">
        <v>200</v>
      </c>
      <c r="B55" s="8" t="s">
        <v>170</v>
      </c>
      <c r="C55" s="8" t="s">
        <v>201</v>
      </c>
      <c r="D55" s="8" t="s">
        <v>202</v>
      </c>
      <c r="E55" s="19">
        <v>46033</v>
      </c>
      <c r="F55" s="19">
        <v>46063</v>
      </c>
      <c r="G55" s="8">
        <v>21435.49</v>
      </c>
      <c r="H55" s="8" t="s">
        <v>15</v>
      </c>
      <c r="I55" s="8" t="s">
        <v>29</v>
      </c>
      <c r="J55" s="8" t="s">
        <v>17</v>
      </c>
      <c r="K55" s="8" t="s">
        <v>63</v>
      </c>
      <c r="L55" t="str">
        <f t="shared" si="0"/>
        <v>Unique</v>
      </c>
      <c r="M55" s="8" t="str">
        <f>IF(COUNTIF(Payments_Raw!$B:$B,A55)=0,"Unpaid",IF(N55&gt;=G55,"Paid",IF(N55&gt;0,"Partial Payment",IF(COUNTIFS(Payments_Raw!$B:$B,A55,Payments_Raw!$F:$F,"Failed")&gt;0,"Failed",IF(COUNTIFS(Payments_Raw!$B:$B,A55,Payments_Raw!$F:$F,"Pending")&gt;0,"Pending","Unpaid")))))</f>
        <v>Failed</v>
      </c>
      <c r="N55" s="8">
        <f>SUMIFS(Payments_Raw!$E:$E,Payments_Raw!$B:$B,A55,Payments_Raw!$F:$F,"Successful")</f>
        <v>0</v>
      </c>
      <c r="O55" s="26">
        <f t="shared" si="1"/>
        <v>21435.49</v>
      </c>
      <c r="P55" s="9" t="str">
        <f t="shared" si="2"/>
        <v>Failed Payment</v>
      </c>
      <c r="Q55" s="14" t="str">
        <f t="shared" si="3"/>
        <v>Overdue</v>
      </c>
      <c r="R55" s="14"/>
    </row>
    <row r="56" spans="1:18" x14ac:dyDescent="0.25">
      <c r="A56" s="18" t="s">
        <v>203</v>
      </c>
      <c r="B56" s="8" t="s">
        <v>85</v>
      </c>
      <c r="C56" s="8" t="s">
        <v>204</v>
      </c>
      <c r="D56" s="8" t="s">
        <v>205</v>
      </c>
      <c r="E56" s="19">
        <v>46298</v>
      </c>
      <c r="F56" s="19">
        <v>46343</v>
      </c>
      <c r="G56" s="8">
        <v>18718.189999999999</v>
      </c>
      <c r="H56" s="8" t="s">
        <v>15</v>
      </c>
      <c r="I56" s="8" t="s">
        <v>16</v>
      </c>
      <c r="J56" s="8" t="s">
        <v>17</v>
      </c>
      <c r="K56" s="8" t="s">
        <v>63</v>
      </c>
      <c r="L56" t="str">
        <f t="shared" si="0"/>
        <v>Unique</v>
      </c>
      <c r="M56" s="8" t="str">
        <f>IF(COUNTIF(Payments_Raw!$B:$B,A56)=0,"Unpaid",IF(N56&gt;=G56,"Paid",IF(N56&gt;0,"Partial Payment",IF(COUNTIFS(Payments_Raw!$B:$B,A56,Payments_Raw!$F:$F,"Failed")&gt;0,"Failed",IF(COUNTIFS(Payments_Raw!$B:$B,A56,Payments_Raw!$F:$F,"Pending")&gt;0,"Pending","Unpaid")))))</f>
        <v>Paid</v>
      </c>
      <c r="N56" s="8">
        <f>SUMIFS(Payments_Raw!$E:$E,Payments_Raw!$B:$B,A56,Payments_Raw!$F:$F,"Successful")</f>
        <v>18718.189999999999</v>
      </c>
      <c r="O56" s="26">
        <f t="shared" si="1"/>
        <v>0</v>
      </c>
      <c r="P56" s="9" t="str">
        <f t="shared" si="2"/>
        <v>No Exception</v>
      </c>
      <c r="Q56" s="14" t="str">
        <f t="shared" si="3"/>
        <v>Not Overdue</v>
      </c>
      <c r="R56" s="14"/>
    </row>
    <row r="57" spans="1:18" x14ac:dyDescent="0.25">
      <c r="A57" s="18" t="s">
        <v>206</v>
      </c>
      <c r="B57" s="8" t="s">
        <v>71</v>
      </c>
      <c r="C57" s="8" t="s">
        <v>207</v>
      </c>
      <c r="D57" s="8" t="s">
        <v>208</v>
      </c>
      <c r="E57" s="19">
        <v>46222</v>
      </c>
      <c r="F57" s="19">
        <v>46237</v>
      </c>
      <c r="G57" s="8">
        <v>8482.9</v>
      </c>
      <c r="H57" s="8" t="s">
        <v>15</v>
      </c>
      <c r="I57" s="8" t="s">
        <v>29</v>
      </c>
      <c r="J57" s="8" t="s">
        <v>17</v>
      </c>
      <c r="K57" s="8" t="s">
        <v>18</v>
      </c>
      <c r="L57" t="str">
        <f t="shared" si="0"/>
        <v>Unique</v>
      </c>
      <c r="M57" s="8" t="str">
        <f>IF(COUNTIF(Payments_Raw!$B:$B,A57)=0,"Unpaid",IF(N57&gt;=G57,"Paid",IF(N57&gt;0,"Partial Payment",IF(COUNTIFS(Payments_Raw!$B:$B,A57,Payments_Raw!$F:$F,"Failed")&gt;0,"Failed",IF(COUNTIFS(Payments_Raw!$B:$B,A57,Payments_Raw!$F:$F,"Pending")&gt;0,"Pending","Unpaid")))))</f>
        <v>Unpaid</v>
      </c>
      <c r="N57" s="8">
        <f>SUMIFS(Payments_Raw!$E:$E,Payments_Raw!$B:$B,A57,Payments_Raw!$F:$F,"Successful")</f>
        <v>0</v>
      </c>
      <c r="O57" s="26">
        <f t="shared" si="1"/>
        <v>8482.9</v>
      </c>
      <c r="P57" s="9" t="str">
        <f t="shared" si="2"/>
        <v>Unpaid Invoice</v>
      </c>
      <c r="Q57" s="14" t="str">
        <f t="shared" si="3"/>
        <v>Overdue</v>
      </c>
      <c r="R57" s="14"/>
    </row>
    <row r="58" spans="1:18" x14ac:dyDescent="0.25">
      <c r="A58" s="18" t="s">
        <v>209</v>
      </c>
      <c r="B58" s="8" t="s">
        <v>138</v>
      </c>
      <c r="C58" s="8" t="s">
        <v>210</v>
      </c>
      <c r="D58" s="8" t="s">
        <v>211</v>
      </c>
      <c r="E58" s="19">
        <v>46296</v>
      </c>
      <c r="F58" s="19">
        <v>46341</v>
      </c>
      <c r="G58" s="8">
        <v>790.93</v>
      </c>
      <c r="H58" s="8" t="s">
        <v>15</v>
      </c>
      <c r="I58" s="8" t="s">
        <v>29</v>
      </c>
      <c r="J58" s="8" t="s">
        <v>17</v>
      </c>
      <c r="K58" s="8" t="s">
        <v>18</v>
      </c>
      <c r="L58" t="str">
        <f t="shared" si="0"/>
        <v>Unique</v>
      </c>
      <c r="M58" s="8" t="str">
        <f>IF(COUNTIF(Payments_Raw!$B:$B,A58)=0,"Unpaid",IF(N58&gt;=G58,"Paid",IF(N58&gt;0,"Partial Payment",IF(COUNTIFS(Payments_Raw!$B:$B,A58,Payments_Raw!$F:$F,"Failed")&gt;0,"Failed",IF(COUNTIFS(Payments_Raw!$B:$B,A58,Payments_Raw!$F:$F,"Pending")&gt;0,"Pending","Unpaid")))))</f>
        <v>Paid</v>
      </c>
      <c r="N58" s="8">
        <f>SUMIFS(Payments_Raw!$E:$E,Payments_Raw!$B:$B,A58,Payments_Raw!$F:$F,"Successful")</f>
        <v>790.93</v>
      </c>
      <c r="O58" s="26">
        <f t="shared" si="1"/>
        <v>0</v>
      </c>
      <c r="P58" s="9" t="str">
        <f t="shared" si="2"/>
        <v>No Exception</v>
      </c>
      <c r="Q58" s="14" t="str">
        <f t="shared" si="3"/>
        <v>Not Overdue</v>
      </c>
      <c r="R58" s="14"/>
    </row>
    <row r="59" spans="1:18" x14ac:dyDescent="0.25">
      <c r="A59" s="18" t="s">
        <v>212</v>
      </c>
      <c r="B59" s="8" t="s">
        <v>112</v>
      </c>
      <c r="C59" s="8" t="s">
        <v>213</v>
      </c>
      <c r="D59" s="8" t="s">
        <v>214</v>
      </c>
      <c r="E59" s="19">
        <v>46116</v>
      </c>
      <c r="F59" s="19">
        <v>46131</v>
      </c>
      <c r="G59" s="8">
        <v>1371.08</v>
      </c>
      <c r="H59" s="8" t="s">
        <v>15</v>
      </c>
      <c r="I59" s="8" t="s">
        <v>16</v>
      </c>
      <c r="J59" s="8" t="s">
        <v>17</v>
      </c>
      <c r="K59" s="8" t="s">
        <v>63</v>
      </c>
      <c r="L59" t="str">
        <f t="shared" si="0"/>
        <v>Unique</v>
      </c>
      <c r="M59" s="8" t="str">
        <f>IF(COUNTIF(Payments_Raw!$B:$B,A59)=0,"Unpaid",IF(N59&gt;=G59,"Paid",IF(N59&gt;0,"Partial Payment",IF(COUNTIFS(Payments_Raw!$B:$B,A59,Payments_Raw!$F:$F,"Failed")&gt;0,"Failed",IF(COUNTIFS(Payments_Raw!$B:$B,A59,Payments_Raw!$F:$F,"Pending")&gt;0,"Pending","Unpaid")))))</f>
        <v>Paid</v>
      </c>
      <c r="N59" s="8">
        <f>SUMIFS(Payments_Raw!$E:$E,Payments_Raw!$B:$B,A59,Payments_Raw!$F:$F,"Successful")</f>
        <v>1371.08</v>
      </c>
      <c r="O59" s="26">
        <f t="shared" si="1"/>
        <v>0</v>
      </c>
      <c r="P59" s="9" t="str">
        <f t="shared" si="2"/>
        <v>No Exception</v>
      </c>
      <c r="Q59" s="14" t="str">
        <f t="shared" si="3"/>
        <v>Not Overdue</v>
      </c>
      <c r="R59" s="14"/>
    </row>
    <row r="60" spans="1:18" x14ac:dyDescent="0.25">
      <c r="A60" s="18" t="s">
        <v>215</v>
      </c>
      <c r="B60" s="8" t="s">
        <v>49</v>
      </c>
      <c r="C60" s="8" t="s">
        <v>216</v>
      </c>
      <c r="D60" s="8" t="s">
        <v>217</v>
      </c>
      <c r="E60" s="19">
        <v>46238</v>
      </c>
      <c r="F60" s="19">
        <v>46268</v>
      </c>
      <c r="G60" s="8">
        <v>6396.52</v>
      </c>
      <c r="H60" s="8" t="s">
        <v>15</v>
      </c>
      <c r="I60" s="8" t="s">
        <v>16</v>
      </c>
      <c r="J60" s="8" t="s">
        <v>17</v>
      </c>
      <c r="K60" s="8" t="s">
        <v>63</v>
      </c>
      <c r="L60" t="str">
        <f t="shared" si="0"/>
        <v>Duplicate</v>
      </c>
      <c r="M60" s="8" t="str">
        <f>IF(COUNTIF(Payments_Raw!$B:$B,A60)=0,"Unpaid",IF(N60&gt;=G60,"Paid",IF(N60&gt;0,"Partial Payment",IF(COUNTIFS(Payments_Raw!$B:$B,A60,Payments_Raw!$F:$F,"Failed")&gt;0,"Failed",IF(COUNTIFS(Payments_Raw!$B:$B,A60,Payments_Raw!$F:$F,"Pending")&gt;0,"Pending","Unpaid")))))</f>
        <v>Paid</v>
      </c>
      <c r="N60" s="8">
        <f>SUMIFS(Payments_Raw!$E:$E,Payments_Raw!$B:$B,A60,Payments_Raw!$F:$F,"Successful")</f>
        <v>6396.52</v>
      </c>
      <c r="O60" s="26">
        <f t="shared" si="1"/>
        <v>0</v>
      </c>
      <c r="P60" s="9" t="str">
        <f t="shared" si="2"/>
        <v>Duplicate Invoice</v>
      </c>
      <c r="Q60" s="14" t="str">
        <f t="shared" si="3"/>
        <v>Not Overdue</v>
      </c>
      <c r="R60" s="14"/>
    </row>
    <row r="61" spans="1:18" x14ac:dyDescent="0.25">
      <c r="A61" s="18" t="s">
        <v>218</v>
      </c>
      <c r="B61" s="8" t="s">
        <v>20</v>
      </c>
      <c r="C61" s="8" t="s">
        <v>219</v>
      </c>
      <c r="D61" s="8" t="s">
        <v>220</v>
      </c>
      <c r="E61" s="19">
        <v>46058</v>
      </c>
      <c r="F61" s="19">
        <v>46073</v>
      </c>
      <c r="G61" s="8">
        <v>19557.080000000002</v>
      </c>
      <c r="H61" s="8" t="s">
        <v>15</v>
      </c>
      <c r="I61" s="8" t="s">
        <v>29</v>
      </c>
      <c r="J61" s="8" t="s">
        <v>30</v>
      </c>
      <c r="K61" s="8" t="s">
        <v>18</v>
      </c>
      <c r="L61" t="str">
        <f t="shared" si="0"/>
        <v>Unique</v>
      </c>
      <c r="M61" s="8" t="str">
        <f>IF(COUNTIF(Payments_Raw!$B:$B,A61)=0,"Unpaid",IF(N61&gt;=G61,"Paid",IF(N61&gt;0,"Partial Payment",IF(COUNTIFS(Payments_Raw!$B:$B,A61,Payments_Raw!$F:$F,"Failed")&gt;0,"Failed",IF(COUNTIFS(Payments_Raw!$B:$B,A61,Payments_Raw!$F:$F,"Pending")&gt;0,"Pending","Unpaid")))))</f>
        <v>Paid</v>
      </c>
      <c r="N61" s="8">
        <f>SUMIFS(Payments_Raw!$E:$E,Payments_Raw!$B:$B,A61,Payments_Raw!$F:$F,"Successful")</f>
        <v>19557.080000000002</v>
      </c>
      <c r="O61" s="26">
        <f t="shared" si="1"/>
        <v>0</v>
      </c>
      <c r="P61" s="9" t="str">
        <f t="shared" si="2"/>
        <v>No Exception</v>
      </c>
      <c r="Q61" s="14" t="str">
        <f t="shared" si="3"/>
        <v>Not Overdue</v>
      </c>
      <c r="R61" s="14"/>
    </row>
    <row r="62" spans="1:18" x14ac:dyDescent="0.25">
      <c r="A62" s="18" t="s">
        <v>221</v>
      </c>
      <c r="B62" s="8" t="s">
        <v>20</v>
      </c>
      <c r="C62" s="8" t="s">
        <v>222</v>
      </c>
      <c r="D62" s="8" t="s">
        <v>223</v>
      </c>
      <c r="E62" s="19">
        <v>46087</v>
      </c>
      <c r="F62" s="19">
        <v>46102</v>
      </c>
      <c r="G62" s="8">
        <v>11902.2</v>
      </c>
      <c r="H62" s="8" t="s">
        <v>15</v>
      </c>
      <c r="I62" s="8" t="s">
        <v>39</v>
      </c>
      <c r="J62" s="8" t="s">
        <v>17</v>
      </c>
      <c r="K62" s="8" t="s">
        <v>18</v>
      </c>
      <c r="L62" t="str">
        <f t="shared" si="0"/>
        <v>Duplicate</v>
      </c>
      <c r="M62" s="8" t="str">
        <f>IF(COUNTIF(Payments_Raw!$B:$B,A62)=0,"Unpaid",IF(N62&gt;=G62,"Paid",IF(N62&gt;0,"Partial Payment",IF(COUNTIFS(Payments_Raw!$B:$B,A62,Payments_Raw!$F:$F,"Failed")&gt;0,"Failed",IF(COUNTIFS(Payments_Raw!$B:$B,A62,Payments_Raw!$F:$F,"Pending")&gt;0,"Pending","Unpaid")))))</f>
        <v>Unpaid</v>
      </c>
      <c r="N62" s="8">
        <f>SUMIFS(Payments_Raw!$E:$E,Payments_Raw!$B:$B,A62,Payments_Raw!$F:$F,"Successful")</f>
        <v>0</v>
      </c>
      <c r="O62" s="26">
        <f t="shared" si="1"/>
        <v>11902.2</v>
      </c>
      <c r="P62" s="9" t="str">
        <f t="shared" si="2"/>
        <v>Duplicate Invoice</v>
      </c>
      <c r="Q62" s="14" t="str">
        <f t="shared" si="3"/>
        <v>Overdue</v>
      </c>
      <c r="R62" s="14"/>
    </row>
    <row r="63" spans="1:18" x14ac:dyDescent="0.25">
      <c r="A63" s="18" t="s">
        <v>224</v>
      </c>
      <c r="B63" s="8" t="s">
        <v>138</v>
      </c>
      <c r="C63" s="8" t="s">
        <v>225</v>
      </c>
      <c r="D63" s="8" t="s">
        <v>226</v>
      </c>
      <c r="E63" s="19">
        <v>46081</v>
      </c>
      <c r="F63" s="19">
        <v>46126</v>
      </c>
      <c r="G63" s="8">
        <v>19471.46</v>
      </c>
      <c r="H63" s="8" t="s">
        <v>15</v>
      </c>
      <c r="I63" s="8" t="s">
        <v>16</v>
      </c>
      <c r="J63" s="8" t="s">
        <v>17</v>
      </c>
      <c r="K63" s="8" t="s">
        <v>24</v>
      </c>
      <c r="L63" t="str">
        <f t="shared" si="0"/>
        <v>Unique</v>
      </c>
      <c r="M63" s="8" t="str">
        <f>IF(COUNTIF(Payments_Raw!$B:$B,A63)=0,"Unpaid",IF(N63&gt;=G63,"Paid",IF(N63&gt;0,"Partial Payment",IF(COUNTIFS(Payments_Raw!$B:$B,A63,Payments_Raw!$F:$F,"Failed")&gt;0,"Failed",IF(COUNTIFS(Payments_Raw!$B:$B,A63,Payments_Raw!$F:$F,"Pending")&gt;0,"Pending","Unpaid")))))</f>
        <v>Paid</v>
      </c>
      <c r="N63" s="8">
        <f>SUMIFS(Payments_Raw!$E:$E,Payments_Raw!$B:$B,A63,Payments_Raw!$F:$F,"Successful")</f>
        <v>19471.46</v>
      </c>
      <c r="O63" s="26">
        <f t="shared" si="1"/>
        <v>0</v>
      </c>
      <c r="P63" s="9" t="str">
        <f t="shared" si="2"/>
        <v>No Exception</v>
      </c>
      <c r="Q63" s="14" t="str">
        <f t="shared" si="3"/>
        <v>Not Overdue</v>
      </c>
      <c r="R63" s="14"/>
    </row>
    <row r="64" spans="1:18" x14ac:dyDescent="0.25">
      <c r="A64" s="18" t="s">
        <v>227</v>
      </c>
      <c r="B64" s="8" t="s">
        <v>41</v>
      </c>
      <c r="C64" s="8" t="s">
        <v>228</v>
      </c>
      <c r="D64" s="8" t="s">
        <v>229</v>
      </c>
      <c r="E64" s="19">
        <v>46226</v>
      </c>
      <c r="F64" s="19">
        <v>46241</v>
      </c>
      <c r="G64" s="8">
        <v>23543.79</v>
      </c>
      <c r="H64" s="8" t="s">
        <v>15</v>
      </c>
      <c r="I64" s="8" t="s">
        <v>39</v>
      </c>
      <c r="J64" s="8" t="s">
        <v>17</v>
      </c>
      <c r="K64" s="8" t="s">
        <v>24</v>
      </c>
      <c r="L64" t="str">
        <f t="shared" si="0"/>
        <v>Unique</v>
      </c>
      <c r="M64" s="8" t="str">
        <f>IF(COUNTIF(Payments_Raw!$B:$B,A64)=0,"Unpaid",IF(N64&gt;=G64,"Paid",IF(N64&gt;0,"Partial Payment",IF(COUNTIFS(Payments_Raw!$B:$B,A64,Payments_Raw!$F:$F,"Failed")&gt;0,"Failed",IF(COUNTIFS(Payments_Raw!$B:$B,A64,Payments_Raw!$F:$F,"Pending")&gt;0,"Pending","Unpaid")))))</f>
        <v>Paid</v>
      </c>
      <c r="N64" s="8">
        <f>SUMIFS(Payments_Raw!$E:$E,Payments_Raw!$B:$B,A64,Payments_Raw!$F:$F,"Successful")</f>
        <v>23543.79</v>
      </c>
      <c r="O64" s="26">
        <f t="shared" si="1"/>
        <v>0</v>
      </c>
      <c r="P64" s="9" t="str">
        <f t="shared" si="2"/>
        <v>No Exception</v>
      </c>
      <c r="Q64" s="14" t="str">
        <f t="shared" si="3"/>
        <v>Not Overdue</v>
      </c>
      <c r="R64" s="14"/>
    </row>
    <row r="65" spans="1:18" x14ac:dyDescent="0.25">
      <c r="A65" s="18" t="s">
        <v>230</v>
      </c>
      <c r="B65" s="8" t="s">
        <v>163</v>
      </c>
      <c r="C65" s="8" t="s">
        <v>231</v>
      </c>
      <c r="D65" s="8" t="s">
        <v>232</v>
      </c>
      <c r="E65" s="19">
        <v>46084</v>
      </c>
      <c r="F65" s="19">
        <v>46099</v>
      </c>
      <c r="G65" s="8">
        <v>19930.13</v>
      </c>
      <c r="H65" s="8" t="s">
        <v>15</v>
      </c>
      <c r="I65" s="8" t="s">
        <v>16</v>
      </c>
      <c r="J65" s="8" t="s">
        <v>17</v>
      </c>
      <c r="K65" s="8" t="s">
        <v>18</v>
      </c>
      <c r="L65" t="str">
        <f t="shared" si="0"/>
        <v>Unique</v>
      </c>
      <c r="M65" s="8" t="str">
        <f>IF(COUNTIF(Payments_Raw!$B:$B,A65)=0,"Unpaid",IF(N65&gt;=G65,"Paid",IF(N65&gt;0,"Partial Payment",IF(COUNTIFS(Payments_Raw!$B:$B,A65,Payments_Raw!$F:$F,"Failed")&gt;0,"Failed",IF(COUNTIFS(Payments_Raw!$B:$B,A65,Payments_Raw!$F:$F,"Pending")&gt;0,"Pending","Unpaid")))))</f>
        <v>Paid</v>
      </c>
      <c r="N65" s="8">
        <f>SUMIFS(Payments_Raw!$E:$E,Payments_Raw!$B:$B,A65,Payments_Raw!$F:$F,"Successful")</f>
        <v>19930.13</v>
      </c>
      <c r="O65" s="26">
        <f t="shared" si="1"/>
        <v>0</v>
      </c>
      <c r="P65" s="9" t="str">
        <f t="shared" si="2"/>
        <v>No Exception</v>
      </c>
      <c r="Q65" s="14" t="str">
        <f t="shared" si="3"/>
        <v>Not Overdue</v>
      </c>
      <c r="R65" s="14"/>
    </row>
    <row r="66" spans="1:18" x14ac:dyDescent="0.25">
      <c r="A66" s="18" t="s">
        <v>233</v>
      </c>
      <c r="B66" s="8" t="s">
        <v>36</v>
      </c>
      <c r="C66" s="8" t="s">
        <v>234</v>
      </c>
      <c r="D66" s="8" t="s">
        <v>235</v>
      </c>
      <c r="E66" s="19">
        <v>46197</v>
      </c>
      <c r="F66" s="19">
        <v>46227</v>
      </c>
      <c r="G66" s="8">
        <v>434.79</v>
      </c>
      <c r="H66" s="8" t="s">
        <v>15</v>
      </c>
      <c r="I66" s="8" t="s">
        <v>16</v>
      </c>
      <c r="J66" s="8" t="s">
        <v>17</v>
      </c>
      <c r="K66" s="8" t="s">
        <v>63</v>
      </c>
      <c r="L66" t="str">
        <f t="shared" si="0"/>
        <v>Unique</v>
      </c>
      <c r="M66" s="8" t="str">
        <f>IF(COUNTIF(Payments_Raw!$B:$B,A66)=0,"Unpaid",IF(N66&gt;=G66,"Paid",IF(N66&gt;0,"Partial Payment",IF(COUNTIFS(Payments_Raw!$B:$B,A66,Payments_Raw!$F:$F,"Failed")&gt;0,"Failed",IF(COUNTIFS(Payments_Raw!$B:$B,A66,Payments_Raw!$F:$F,"Pending")&gt;0,"Pending","Unpaid")))))</f>
        <v>Partial Payment</v>
      </c>
      <c r="N66" s="8">
        <f>SUMIFS(Payments_Raw!$E:$E,Payments_Raw!$B:$B,A66,Payments_Raw!$F:$F,"Successful")</f>
        <v>400.01</v>
      </c>
      <c r="O66" s="26">
        <f t="shared" si="1"/>
        <v>34.78000000000003</v>
      </c>
      <c r="P66" s="9" t="str">
        <f t="shared" si="2"/>
        <v>Amount Mismatch</v>
      </c>
      <c r="Q66" s="14" t="str">
        <f t="shared" si="3"/>
        <v>Overdue</v>
      </c>
      <c r="R66" s="14"/>
    </row>
    <row r="67" spans="1:18" x14ac:dyDescent="0.25">
      <c r="A67" s="18" t="s">
        <v>236</v>
      </c>
      <c r="B67" s="8" t="s">
        <v>122</v>
      </c>
      <c r="C67" s="8" t="s">
        <v>237</v>
      </c>
      <c r="D67" s="8" t="s">
        <v>238</v>
      </c>
      <c r="E67" s="19">
        <v>46245</v>
      </c>
      <c r="F67" s="19">
        <v>46260</v>
      </c>
      <c r="G67" s="8">
        <v>4502.29</v>
      </c>
      <c r="H67" s="8" t="s">
        <v>15</v>
      </c>
      <c r="I67" s="8" t="s">
        <v>16</v>
      </c>
      <c r="J67" s="8" t="s">
        <v>17</v>
      </c>
      <c r="K67" s="8" t="s">
        <v>63</v>
      </c>
      <c r="L67" t="str">
        <f t="shared" ref="L67:L130" si="4">IF(COUNTIFS($B:$B,B67,$C:$C,C67)&gt;1,"Duplicate","Unique")</f>
        <v>Duplicate</v>
      </c>
      <c r="M67" s="8" t="str">
        <f>IF(COUNTIF(Payments_Raw!$B:$B,A67)=0,"Unpaid",IF(N67&gt;=G67,"Paid",IF(N67&gt;0,"Partial Payment",IF(COUNTIFS(Payments_Raw!$B:$B,A67,Payments_Raw!$F:$F,"Failed")&gt;0,"Failed",IF(COUNTIFS(Payments_Raw!$B:$B,A67,Payments_Raw!$F:$F,"Pending")&gt;0,"Pending","Unpaid")))))</f>
        <v>Paid</v>
      </c>
      <c r="N67" s="8">
        <f>SUMIFS(Payments_Raw!$E:$E,Payments_Raw!$B:$B,A67,Payments_Raw!$F:$F,"Successful")</f>
        <v>4502.29</v>
      </c>
      <c r="O67" s="26">
        <f t="shared" ref="O67:O130" si="5">G67-N67</f>
        <v>0</v>
      </c>
      <c r="P67" s="9" t="str">
        <f t="shared" ref="P67:P130" si="6">IF(L67="Duplicate","Duplicate Invoice",IF(M67="Failed","Failed Payment",IF(M67="Pending","Pending Payment",IF(M67="Unpaid","Unpaid Invoice",IF(M67="Partial Payment","Amount Mismatch","No Exception")))))</f>
        <v>Duplicate Invoice</v>
      </c>
      <c r="Q67" s="14" t="str">
        <f t="shared" ref="Q67:Q130" si="7">IF(AND(G67&lt;DATE(2026,10,14),M67&lt;&gt;"Paid"),"Overdue","Not Overdue")</f>
        <v>Not Overdue</v>
      </c>
      <c r="R67" s="14"/>
    </row>
    <row r="68" spans="1:18" x14ac:dyDescent="0.25">
      <c r="A68" s="18" t="s">
        <v>239</v>
      </c>
      <c r="B68" s="8" t="s">
        <v>112</v>
      </c>
      <c r="C68" s="8" t="s">
        <v>240</v>
      </c>
      <c r="D68" s="8" t="s">
        <v>241</v>
      </c>
      <c r="E68" s="19">
        <v>46246</v>
      </c>
      <c r="F68" s="19">
        <v>46261</v>
      </c>
      <c r="G68" s="8">
        <v>20664.28</v>
      </c>
      <c r="H68" s="8" t="s">
        <v>15</v>
      </c>
      <c r="I68" s="8" t="s">
        <v>16</v>
      </c>
      <c r="J68" s="8" t="s">
        <v>17</v>
      </c>
      <c r="K68" s="8" t="s">
        <v>63</v>
      </c>
      <c r="L68" t="str">
        <f t="shared" si="4"/>
        <v>Unique</v>
      </c>
      <c r="M68" s="8" t="str">
        <f>IF(COUNTIF(Payments_Raw!$B:$B,A68)=0,"Unpaid",IF(N68&gt;=G68,"Paid",IF(N68&gt;0,"Partial Payment",IF(COUNTIFS(Payments_Raw!$B:$B,A68,Payments_Raw!$F:$F,"Failed")&gt;0,"Failed",IF(COUNTIFS(Payments_Raw!$B:$B,A68,Payments_Raw!$F:$F,"Pending")&gt;0,"Pending","Unpaid")))))</f>
        <v>Unpaid</v>
      </c>
      <c r="N68" s="8">
        <f>SUMIFS(Payments_Raw!$E:$E,Payments_Raw!$B:$B,A68,Payments_Raw!$F:$F,"Successful")</f>
        <v>0</v>
      </c>
      <c r="O68" s="26">
        <f t="shared" si="5"/>
        <v>20664.28</v>
      </c>
      <c r="P68" s="9" t="str">
        <f t="shared" si="6"/>
        <v>Unpaid Invoice</v>
      </c>
      <c r="Q68" s="14" t="str">
        <f t="shared" si="7"/>
        <v>Overdue</v>
      </c>
      <c r="R68" s="14"/>
    </row>
    <row r="69" spans="1:18" x14ac:dyDescent="0.25">
      <c r="A69" s="18" t="s">
        <v>242</v>
      </c>
      <c r="B69" s="8" t="s">
        <v>112</v>
      </c>
      <c r="C69" s="8" t="s">
        <v>243</v>
      </c>
      <c r="D69" s="8" t="s">
        <v>244</v>
      </c>
      <c r="E69" s="19">
        <v>46147</v>
      </c>
      <c r="F69" s="19">
        <v>46162</v>
      </c>
      <c r="G69" s="8">
        <v>18791.849999999999</v>
      </c>
      <c r="H69" s="8" t="s">
        <v>15</v>
      </c>
      <c r="I69" s="8" t="s">
        <v>16</v>
      </c>
      <c r="J69" s="8" t="s">
        <v>17</v>
      </c>
      <c r="K69" s="8" t="s">
        <v>63</v>
      </c>
      <c r="L69" t="str">
        <f t="shared" si="4"/>
        <v>Unique</v>
      </c>
      <c r="M69" s="8" t="str">
        <f>IF(COUNTIF(Payments_Raw!$B:$B,A69)=0,"Unpaid",IF(N69&gt;=G69,"Paid",IF(N69&gt;0,"Partial Payment",IF(COUNTIFS(Payments_Raw!$B:$B,A69,Payments_Raw!$F:$F,"Failed")&gt;0,"Failed",IF(COUNTIFS(Payments_Raw!$B:$B,A69,Payments_Raw!$F:$F,"Pending")&gt;0,"Pending","Unpaid")))))</f>
        <v>Unpaid</v>
      </c>
      <c r="N69" s="8">
        <f>SUMIFS(Payments_Raw!$E:$E,Payments_Raw!$B:$B,A69,Payments_Raw!$F:$F,"Successful")</f>
        <v>0</v>
      </c>
      <c r="O69" s="26">
        <f t="shared" si="5"/>
        <v>18791.849999999999</v>
      </c>
      <c r="P69" s="9" t="str">
        <f t="shared" si="6"/>
        <v>Unpaid Invoice</v>
      </c>
      <c r="Q69" s="14" t="str">
        <f t="shared" si="7"/>
        <v>Overdue</v>
      </c>
      <c r="R69" s="14"/>
    </row>
    <row r="70" spans="1:18" x14ac:dyDescent="0.25">
      <c r="A70" s="18" t="s">
        <v>245</v>
      </c>
      <c r="B70" s="8" t="s">
        <v>12</v>
      </c>
      <c r="C70" s="8" t="s">
        <v>246</v>
      </c>
      <c r="D70" s="8" t="s">
        <v>247</v>
      </c>
      <c r="E70" s="19">
        <v>46272</v>
      </c>
      <c r="F70" s="19">
        <v>46287</v>
      </c>
      <c r="G70" s="8">
        <v>5397.54</v>
      </c>
      <c r="H70" s="8" t="s">
        <v>15</v>
      </c>
      <c r="I70" s="8" t="s">
        <v>23</v>
      </c>
      <c r="J70" s="8" t="s">
        <v>17</v>
      </c>
      <c r="K70" s="8" t="s">
        <v>63</v>
      </c>
      <c r="L70" t="str">
        <f t="shared" si="4"/>
        <v>Unique</v>
      </c>
      <c r="M70" s="8" t="str">
        <f>IF(COUNTIF(Payments_Raw!$B:$B,A70)=0,"Unpaid",IF(N70&gt;=G70,"Paid",IF(N70&gt;0,"Partial Payment",IF(COUNTIFS(Payments_Raw!$B:$B,A70,Payments_Raw!$F:$F,"Failed")&gt;0,"Failed",IF(COUNTIFS(Payments_Raw!$B:$B,A70,Payments_Raw!$F:$F,"Pending")&gt;0,"Pending","Unpaid")))))</f>
        <v>Unpaid</v>
      </c>
      <c r="N70" s="8">
        <f>SUMIFS(Payments_Raw!$E:$E,Payments_Raw!$B:$B,A70,Payments_Raw!$F:$F,"Successful")</f>
        <v>0</v>
      </c>
      <c r="O70" s="26">
        <f t="shared" si="5"/>
        <v>5397.54</v>
      </c>
      <c r="P70" s="9" t="str">
        <f t="shared" si="6"/>
        <v>Unpaid Invoice</v>
      </c>
      <c r="Q70" s="14" t="str">
        <f t="shared" si="7"/>
        <v>Overdue</v>
      </c>
      <c r="R70" s="14"/>
    </row>
    <row r="71" spans="1:18" x14ac:dyDescent="0.25">
      <c r="A71" s="18" t="s">
        <v>248</v>
      </c>
      <c r="B71" s="8" t="s">
        <v>32</v>
      </c>
      <c r="C71" s="8" t="s">
        <v>249</v>
      </c>
      <c r="D71" s="8" t="s">
        <v>250</v>
      </c>
      <c r="E71" s="19">
        <v>46028</v>
      </c>
      <c r="F71" s="19">
        <v>46058</v>
      </c>
      <c r="G71" s="8">
        <v>12973.69</v>
      </c>
      <c r="H71" s="8" t="s">
        <v>15</v>
      </c>
      <c r="I71" s="8" t="s">
        <v>16</v>
      </c>
      <c r="J71" s="8" t="s">
        <v>17</v>
      </c>
      <c r="K71" s="8" t="s">
        <v>18</v>
      </c>
      <c r="L71" t="str">
        <f t="shared" si="4"/>
        <v>Unique</v>
      </c>
      <c r="M71" s="8" t="str">
        <f>IF(COUNTIF(Payments_Raw!$B:$B,A71)=0,"Unpaid",IF(N71&gt;=G71,"Paid",IF(N71&gt;0,"Partial Payment",IF(COUNTIFS(Payments_Raw!$B:$B,A71,Payments_Raw!$F:$F,"Failed")&gt;0,"Failed",IF(COUNTIFS(Payments_Raw!$B:$B,A71,Payments_Raw!$F:$F,"Pending")&gt;0,"Pending","Unpaid")))))</f>
        <v>Paid</v>
      </c>
      <c r="N71" s="8">
        <f>SUMIFS(Payments_Raw!$E:$E,Payments_Raw!$B:$B,A71,Payments_Raw!$F:$F,"Successful")</f>
        <v>12973.69</v>
      </c>
      <c r="O71" s="26">
        <f t="shared" si="5"/>
        <v>0</v>
      </c>
      <c r="P71" s="9" t="str">
        <f t="shared" si="6"/>
        <v>No Exception</v>
      </c>
      <c r="Q71" s="14" t="str">
        <f t="shared" si="7"/>
        <v>Not Overdue</v>
      </c>
      <c r="R71" s="14"/>
    </row>
    <row r="72" spans="1:18" x14ac:dyDescent="0.25">
      <c r="A72" s="18" t="s">
        <v>251</v>
      </c>
      <c r="B72" s="8" t="s">
        <v>75</v>
      </c>
      <c r="C72" s="8" t="s">
        <v>252</v>
      </c>
      <c r="D72" s="8" t="s">
        <v>253</v>
      </c>
      <c r="E72" s="19">
        <v>46274</v>
      </c>
      <c r="F72" s="19">
        <v>46289</v>
      </c>
      <c r="G72" s="8">
        <v>35298.25</v>
      </c>
      <c r="H72" s="8" t="s">
        <v>15</v>
      </c>
      <c r="I72" s="8" t="s">
        <v>16</v>
      </c>
      <c r="J72" s="8" t="s">
        <v>17</v>
      </c>
      <c r="K72" s="8" t="s">
        <v>63</v>
      </c>
      <c r="L72" t="str">
        <f t="shared" si="4"/>
        <v>Unique</v>
      </c>
      <c r="M72" s="8" t="str">
        <f>IF(COUNTIF(Payments_Raw!$B:$B,A72)=0,"Unpaid",IF(N72&gt;=G72,"Paid",IF(N72&gt;0,"Partial Payment",IF(COUNTIFS(Payments_Raw!$B:$B,A72,Payments_Raw!$F:$F,"Failed")&gt;0,"Failed",IF(COUNTIFS(Payments_Raw!$B:$B,A72,Payments_Raw!$F:$F,"Pending")&gt;0,"Pending","Unpaid")))))</f>
        <v>Unpaid</v>
      </c>
      <c r="N72" s="8">
        <f>SUMIFS(Payments_Raw!$E:$E,Payments_Raw!$B:$B,A72,Payments_Raw!$F:$F,"Successful")</f>
        <v>0</v>
      </c>
      <c r="O72" s="26">
        <f t="shared" si="5"/>
        <v>35298.25</v>
      </c>
      <c r="P72" s="9" t="str">
        <f t="shared" si="6"/>
        <v>Unpaid Invoice</v>
      </c>
      <c r="Q72" s="14" t="str">
        <f t="shared" si="7"/>
        <v>Overdue</v>
      </c>
      <c r="R72" s="14"/>
    </row>
    <row r="73" spans="1:18" x14ac:dyDescent="0.25">
      <c r="A73" s="18" t="s">
        <v>254</v>
      </c>
      <c r="B73" s="8" t="s">
        <v>75</v>
      </c>
      <c r="C73" s="8" t="s">
        <v>255</v>
      </c>
      <c r="D73" s="8" t="s">
        <v>256</v>
      </c>
      <c r="E73" s="19">
        <v>46306</v>
      </c>
      <c r="F73" s="19">
        <v>46321</v>
      </c>
      <c r="G73" s="8">
        <v>13329.34</v>
      </c>
      <c r="H73" s="8" t="s">
        <v>15</v>
      </c>
      <c r="I73" s="8" t="s">
        <v>16</v>
      </c>
      <c r="J73" s="8" t="s">
        <v>17</v>
      </c>
      <c r="K73" s="8" t="s">
        <v>63</v>
      </c>
      <c r="L73" t="str">
        <f t="shared" si="4"/>
        <v>Unique</v>
      </c>
      <c r="M73" s="8" t="str">
        <f>IF(COUNTIF(Payments_Raw!$B:$B,A73)=0,"Unpaid",IF(N73&gt;=G73,"Paid",IF(N73&gt;0,"Partial Payment",IF(COUNTIFS(Payments_Raw!$B:$B,A73,Payments_Raw!$F:$F,"Failed")&gt;0,"Failed",IF(COUNTIFS(Payments_Raw!$B:$B,A73,Payments_Raw!$F:$F,"Pending")&gt;0,"Pending","Unpaid")))))</f>
        <v>Paid</v>
      </c>
      <c r="N73" s="8">
        <f>SUMIFS(Payments_Raw!$E:$E,Payments_Raw!$B:$B,A73,Payments_Raw!$F:$F,"Successful")</f>
        <v>13329.34</v>
      </c>
      <c r="O73" s="26">
        <f t="shared" si="5"/>
        <v>0</v>
      </c>
      <c r="P73" s="9" t="str">
        <f t="shared" si="6"/>
        <v>No Exception</v>
      </c>
      <c r="Q73" s="14" t="str">
        <f t="shared" si="7"/>
        <v>Not Overdue</v>
      </c>
      <c r="R73" s="14"/>
    </row>
    <row r="74" spans="1:18" x14ac:dyDescent="0.25">
      <c r="A74" s="18" t="s">
        <v>257</v>
      </c>
      <c r="B74" s="8" t="s">
        <v>49</v>
      </c>
      <c r="C74" s="8" t="s">
        <v>258</v>
      </c>
      <c r="D74" s="8" t="s">
        <v>259</v>
      </c>
      <c r="E74" s="19">
        <v>46141</v>
      </c>
      <c r="F74" s="19">
        <v>46171</v>
      </c>
      <c r="G74" s="8">
        <v>3121.92</v>
      </c>
      <c r="H74" s="8" t="s">
        <v>15</v>
      </c>
      <c r="I74" s="8" t="s">
        <v>16</v>
      </c>
      <c r="J74" s="8" t="s">
        <v>17</v>
      </c>
      <c r="K74" s="8" t="s">
        <v>18</v>
      </c>
      <c r="L74" t="str">
        <f t="shared" si="4"/>
        <v>Unique</v>
      </c>
      <c r="M74" s="8" t="str">
        <f>IF(COUNTIF(Payments_Raw!$B:$B,A74)=0,"Unpaid",IF(N74&gt;=G74,"Paid",IF(N74&gt;0,"Partial Payment",IF(COUNTIFS(Payments_Raw!$B:$B,A74,Payments_Raw!$F:$F,"Failed")&gt;0,"Failed",IF(COUNTIFS(Payments_Raw!$B:$B,A74,Payments_Raw!$F:$F,"Pending")&gt;0,"Pending","Unpaid")))))</f>
        <v>Paid</v>
      </c>
      <c r="N74" s="8">
        <f>SUMIFS(Payments_Raw!$E:$E,Payments_Raw!$B:$B,A74,Payments_Raw!$F:$F,"Successful")</f>
        <v>3121.92</v>
      </c>
      <c r="O74" s="26">
        <f t="shared" si="5"/>
        <v>0</v>
      </c>
      <c r="P74" s="9" t="str">
        <f t="shared" si="6"/>
        <v>No Exception</v>
      </c>
      <c r="Q74" s="14" t="str">
        <f t="shared" si="7"/>
        <v>Not Overdue</v>
      </c>
      <c r="R74" s="14"/>
    </row>
    <row r="75" spans="1:18" x14ac:dyDescent="0.25">
      <c r="A75" s="18" t="s">
        <v>260</v>
      </c>
      <c r="B75" s="8" t="s">
        <v>53</v>
      </c>
      <c r="C75" s="8" t="s">
        <v>261</v>
      </c>
      <c r="D75" s="8" t="s">
        <v>262</v>
      </c>
      <c r="E75" s="19">
        <v>46133</v>
      </c>
      <c r="F75" s="19">
        <v>46163</v>
      </c>
      <c r="G75" s="8">
        <v>18496.48</v>
      </c>
      <c r="H75" s="8" t="s">
        <v>15</v>
      </c>
      <c r="I75" s="8" t="s">
        <v>16</v>
      </c>
      <c r="J75" s="8" t="s">
        <v>17</v>
      </c>
      <c r="K75" s="8" t="s">
        <v>18</v>
      </c>
      <c r="L75" t="str">
        <f t="shared" si="4"/>
        <v>Unique</v>
      </c>
      <c r="M75" s="8" t="str">
        <f>IF(COUNTIF(Payments_Raw!$B:$B,A75)=0,"Unpaid",IF(N75&gt;=G75,"Paid",IF(N75&gt;0,"Partial Payment",IF(COUNTIFS(Payments_Raw!$B:$B,A75,Payments_Raw!$F:$F,"Failed")&gt;0,"Failed",IF(COUNTIFS(Payments_Raw!$B:$B,A75,Payments_Raw!$F:$F,"Pending")&gt;0,"Pending","Unpaid")))))</f>
        <v>Paid</v>
      </c>
      <c r="N75" s="8">
        <f>SUMIFS(Payments_Raw!$E:$E,Payments_Raw!$B:$B,A75,Payments_Raw!$F:$F,"Successful")</f>
        <v>18496.48</v>
      </c>
      <c r="O75" s="26">
        <f t="shared" si="5"/>
        <v>0</v>
      </c>
      <c r="P75" s="9" t="str">
        <f t="shared" si="6"/>
        <v>No Exception</v>
      </c>
      <c r="Q75" s="14" t="str">
        <f t="shared" si="7"/>
        <v>Not Overdue</v>
      </c>
      <c r="R75" s="14"/>
    </row>
    <row r="76" spans="1:18" x14ac:dyDescent="0.25">
      <c r="A76" s="18" t="s">
        <v>263</v>
      </c>
      <c r="B76" s="8" t="s">
        <v>53</v>
      </c>
      <c r="C76" s="8" t="s">
        <v>264</v>
      </c>
      <c r="D76" s="8" t="s">
        <v>265</v>
      </c>
      <c r="E76" s="19">
        <v>46174</v>
      </c>
      <c r="F76" s="19">
        <v>46204</v>
      </c>
      <c r="G76" s="8">
        <v>5779.78</v>
      </c>
      <c r="H76" s="8" t="s">
        <v>15</v>
      </c>
      <c r="I76" s="8" t="s">
        <v>16</v>
      </c>
      <c r="J76" s="8" t="s">
        <v>17</v>
      </c>
      <c r="K76" s="8" t="s">
        <v>18</v>
      </c>
      <c r="L76" t="str">
        <f t="shared" si="4"/>
        <v>Unique</v>
      </c>
      <c r="M76" s="8" t="str">
        <f>IF(COUNTIF(Payments_Raw!$B:$B,A76)=0,"Unpaid",IF(N76&gt;=G76,"Paid",IF(N76&gt;0,"Partial Payment",IF(COUNTIFS(Payments_Raw!$B:$B,A76,Payments_Raw!$F:$F,"Failed")&gt;0,"Failed",IF(COUNTIFS(Payments_Raw!$B:$B,A76,Payments_Raw!$F:$F,"Pending")&gt;0,"Pending","Unpaid")))))</f>
        <v>Paid</v>
      </c>
      <c r="N76" s="8">
        <f>SUMIFS(Payments_Raw!$E:$E,Payments_Raw!$B:$B,A76,Payments_Raw!$F:$F,"Successful")</f>
        <v>5779.78</v>
      </c>
      <c r="O76" s="26">
        <f t="shared" si="5"/>
        <v>0</v>
      </c>
      <c r="P76" s="9" t="str">
        <f t="shared" si="6"/>
        <v>No Exception</v>
      </c>
      <c r="Q76" s="14" t="str">
        <f t="shared" si="7"/>
        <v>Not Overdue</v>
      </c>
      <c r="R76" s="14"/>
    </row>
    <row r="77" spans="1:18" x14ac:dyDescent="0.25">
      <c r="A77" s="18" t="s">
        <v>266</v>
      </c>
      <c r="B77" s="8" t="s">
        <v>32</v>
      </c>
      <c r="C77" s="8" t="s">
        <v>267</v>
      </c>
      <c r="D77" s="8" t="s">
        <v>268</v>
      </c>
      <c r="E77" s="19">
        <v>46172</v>
      </c>
      <c r="F77" s="19">
        <v>46202</v>
      </c>
      <c r="G77" s="8">
        <v>17471.740000000002</v>
      </c>
      <c r="H77" s="8" t="s">
        <v>15</v>
      </c>
      <c r="I77" s="8" t="s">
        <v>23</v>
      </c>
      <c r="J77" s="8" t="s">
        <v>17</v>
      </c>
      <c r="K77" s="8" t="s">
        <v>63</v>
      </c>
      <c r="L77" t="str">
        <f t="shared" si="4"/>
        <v>Unique</v>
      </c>
      <c r="M77" s="8" t="str">
        <f>IF(COUNTIF(Payments_Raw!$B:$B,A77)=0,"Unpaid",IF(N77&gt;=G77,"Paid",IF(N77&gt;0,"Partial Payment",IF(COUNTIFS(Payments_Raw!$B:$B,A77,Payments_Raw!$F:$F,"Failed")&gt;0,"Failed",IF(COUNTIFS(Payments_Raw!$B:$B,A77,Payments_Raw!$F:$F,"Pending")&gt;0,"Pending","Unpaid")))))</f>
        <v>Paid</v>
      </c>
      <c r="N77" s="8">
        <f>SUMIFS(Payments_Raw!$E:$E,Payments_Raw!$B:$B,A77,Payments_Raw!$F:$F,"Successful")</f>
        <v>17471.740000000002</v>
      </c>
      <c r="O77" s="26">
        <f t="shared" si="5"/>
        <v>0</v>
      </c>
      <c r="P77" s="9" t="str">
        <f t="shared" si="6"/>
        <v>No Exception</v>
      </c>
      <c r="Q77" s="14" t="str">
        <f t="shared" si="7"/>
        <v>Not Overdue</v>
      </c>
      <c r="R77" s="14"/>
    </row>
    <row r="78" spans="1:18" x14ac:dyDescent="0.25">
      <c r="A78" s="18" t="s">
        <v>269</v>
      </c>
      <c r="B78" s="8" t="s">
        <v>75</v>
      </c>
      <c r="C78" s="8" t="s">
        <v>270</v>
      </c>
      <c r="D78" s="8" t="s">
        <v>271</v>
      </c>
      <c r="E78" s="19">
        <v>46248</v>
      </c>
      <c r="F78" s="19">
        <v>46263</v>
      </c>
      <c r="G78" s="8">
        <v>8596.76</v>
      </c>
      <c r="H78" s="8" t="s">
        <v>15</v>
      </c>
      <c r="I78" s="8" t="s">
        <v>29</v>
      </c>
      <c r="J78" s="8" t="s">
        <v>30</v>
      </c>
      <c r="K78" s="8" t="s">
        <v>63</v>
      </c>
      <c r="L78" t="str">
        <f t="shared" si="4"/>
        <v>Unique</v>
      </c>
      <c r="M78" s="8" t="str">
        <f>IF(COUNTIF(Payments_Raw!$B:$B,A78)=0,"Unpaid",IF(N78&gt;=G78,"Paid",IF(N78&gt;0,"Partial Payment",IF(COUNTIFS(Payments_Raw!$B:$B,A78,Payments_Raw!$F:$F,"Failed")&gt;0,"Failed",IF(COUNTIFS(Payments_Raw!$B:$B,A78,Payments_Raw!$F:$F,"Pending")&gt;0,"Pending","Unpaid")))))</f>
        <v>Unpaid</v>
      </c>
      <c r="N78" s="8">
        <f>SUMIFS(Payments_Raw!$E:$E,Payments_Raw!$B:$B,A78,Payments_Raw!$F:$F,"Successful")</f>
        <v>0</v>
      </c>
      <c r="O78" s="26">
        <f t="shared" si="5"/>
        <v>8596.76</v>
      </c>
      <c r="P78" s="9" t="str">
        <f t="shared" si="6"/>
        <v>Unpaid Invoice</v>
      </c>
      <c r="Q78" s="14" t="str">
        <f t="shared" si="7"/>
        <v>Overdue</v>
      </c>
      <c r="R78" s="14"/>
    </row>
    <row r="79" spans="1:18" x14ac:dyDescent="0.25">
      <c r="A79" s="18" t="s">
        <v>272</v>
      </c>
      <c r="B79" s="8" t="s">
        <v>102</v>
      </c>
      <c r="C79" s="8" t="s">
        <v>273</v>
      </c>
      <c r="D79" s="8" t="s">
        <v>274</v>
      </c>
      <c r="E79" s="19">
        <v>46050</v>
      </c>
      <c r="F79" s="19">
        <v>46095</v>
      </c>
      <c r="G79" s="8">
        <v>3894.97</v>
      </c>
      <c r="H79" s="8" t="s">
        <v>15</v>
      </c>
      <c r="I79" s="8" t="s">
        <v>23</v>
      </c>
      <c r="J79" s="8" t="s">
        <v>30</v>
      </c>
      <c r="K79" s="8" t="s">
        <v>63</v>
      </c>
      <c r="L79" t="str">
        <f t="shared" si="4"/>
        <v>Unique</v>
      </c>
      <c r="M79" s="8" t="str">
        <f>IF(COUNTIF(Payments_Raw!$B:$B,A79)=0,"Unpaid",IF(N79&gt;=G79,"Paid",IF(N79&gt;0,"Partial Payment",IF(COUNTIFS(Payments_Raw!$B:$B,A79,Payments_Raw!$F:$F,"Failed")&gt;0,"Failed",IF(COUNTIFS(Payments_Raw!$B:$B,A79,Payments_Raw!$F:$F,"Pending")&gt;0,"Pending","Unpaid")))))</f>
        <v>Paid</v>
      </c>
      <c r="N79" s="8">
        <f>SUMIFS(Payments_Raw!$E:$E,Payments_Raw!$B:$B,A79,Payments_Raw!$F:$F,"Successful")</f>
        <v>3894.97</v>
      </c>
      <c r="O79" s="26">
        <f t="shared" si="5"/>
        <v>0</v>
      </c>
      <c r="P79" s="9" t="str">
        <f t="shared" si="6"/>
        <v>No Exception</v>
      </c>
      <c r="Q79" s="14" t="str">
        <f t="shared" si="7"/>
        <v>Not Overdue</v>
      </c>
      <c r="R79" s="14"/>
    </row>
    <row r="80" spans="1:18" x14ac:dyDescent="0.25">
      <c r="A80" s="18" t="s">
        <v>275</v>
      </c>
      <c r="B80" s="8" t="s">
        <v>138</v>
      </c>
      <c r="C80" s="8" t="s">
        <v>276</v>
      </c>
      <c r="D80" s="8" t="s">
        <v>277</v>
      </c>
      <c r="E80" s="19">
        <v>46138</v>
      </c>
      <c r="F80" s="19">
        <v>46183</v>
      </c>
      <c r="G80" s="8">
        <v>19419.259999999998</v>
      </c>
      <c r="H80" s="8" t="s">
        <v>15</v>
      </c>
      <c r="I80" s="8" t="s">
        <v>23</v>
      </c>
      <c r="J80" s="8" t="s">
        <v>17</v>
      </c>
      <c r="K80" s="8" t="s">
        <v>63</v>
      </c>
      <c r="L80" t="str">
        <f t="shared" si="4"/>
        <v>Unique</v>
      </c>
      <c r="M80" s="8" t="str">
        <f>IF(COUNTIF(Payments_Raw!$B:$B,A80)=0,"Unpaid",IF(N80&gt;=G80,"Paid",IF(N80&gt;0,"Partial Payment",IF(COUNTIFS(Payments_Raw!$B:$B,A80,Payments_Raw!$F:$F,"Failed")&gt;0,"Failed",IF(COUNTIFS(Payments_Raw!$B:$B,A80,Payments_Raw!$F:$F,"Pending")&gt;0,"Pending","Unpaid")))))</f>
        <v>Paid</v>
      </c>
      <c r="N80" s="8">
        <f>SUMIFS(Payments_Raw!$E:$E,Payments_Raw!$B:$B,A80,Payments_Raw!$F:$F,"Successful")</f>
        <v>19419.259999999998</v>
      </c>
      <c r="O80" s="26">
        <f t="shared" si="5"/>
        <v>0</v>
      </c>
      <c r="P80" s="9" t="str">
        <f t="shared" si="6"/>
        <v>No Exception</v>
      </c>
      <c r="Q80" s="14" t="str">
        <f t="shared" si="7"/>
        <v>Not Overdue</v>
      </c>
      <c r="R80" s="14"/>
    </row>
    <row r="81" spans="1:18" x14ac:dyDescent="0.25">
      <c r="A81" s="18" t="s">
        <v>278</v>
      </c>
      <c r="B81" s="8" t="s">
        <v>170</v>
      </c>
      <c r="C81" s="8" t="s">
        <v>279</v>
      </c>
      <c r="D81" s="8" t="s">
        <v>280</v>
      </c>
      <c r="E81" s="19">
        <v>46053</v>
      </c>
      <c r="F81" s="19">
        <v>46083</v>
      </c>
      <c r="G81" s="8">
        <v>15287.62</v>
      </c>
      <c r="H81" s="8" t="s">
        <v>15</v>
      </c>
      <c r="I81" s="8" t="s">
        <v>16</v>
      </c>
      <c r="J81" s="8" t="s">
        <v>17</v>
      </c>
      <c r="K81" s="8" t="s">
        <v>18</v>
      </c>
      <c r="L81" t="str">
        <f t="shared" si="4"/>
        <v>Unique</v>
      </c>
      <c r="M81" s="8" t="str">
        <f>IF(COUNTIF(Payments_Raw!$B:$B,A81)=0,"Unpaid",IF(N81&gt;=G81,"Paid",IF(N81&gt;0,"Partial Payment",IF(COUNTIFS(Payments_Raw!$B:$B,A81,Payments_Raw!$F:$F,"Failed")&gt;0,"Failed",IF(COUNTIFS(Payments_Raw!$B:$B,A81,Payments_Raw!$F:$F,"Pending")&gt;0,"Pending","Unpaid")))))</f>
        <v>Paid</v>
      </c>
      <c r="N81" s="8">
        <f>SUMIFS(Payments_Raw!$E:$E,Payments_Raw!$B:$B,A81,Payments_Raw!$F:$F,"Successful")</f>
        <v>15287.62</v>
      </c>
      <c r="O81" s="26">
        <f t="shared" si="5"/>
        <v>0</v>
      </c>
      <c r="P81" s="9" t="str">
        <f t="shared" si="6"/>
        <v>No Exception</v>
      </c>
      <c r="Q81" s="14" t="str">
        <f t="shared" si="7"/>
        <v>Not Overdue</v>
      </c>
      <c r="R81" s="14"/>
    </row>
    <row r="82" spans="1:18" x14ac:dyDescent="0.25">
      <c r="A82" s="18" t="s">
        <v>281</v>
      </c>
      <c r="B82" s="8" t="s">
        <v>20</v>
      </c>
      <c r="C82" s="8" t="s">
        <v>282</v>
      </c>
      <c r="D82" s="8" t="s">
        <v>283</v>
      </c>
      <c r="E82" s="19">
        <v>46111</v>
      </c>
      <c r="F82" s="19">
        <v>46126</v>
      </c>
      <c r="G82" s="8">
        <v>13853.57</v>
      </c>
      <c r="H82" s="8" t="s">
        <v>15</v>
      </c>
      <c r="I82" s="8" t="s">
        <v>39</v>
      </c>
      <c r="J82" s="8" t="s">
        <v>17</v>
      </c>
      <c r="K82" s="8" t="s">
        <v>18</v>
      </c>
      <c r="L82" t="str">
        <f t="shared" si="4"/>
        <v>Unique</v>
      </c>
      <c r="M82" s="8" t="str">
        <f>IF(COUNTIF(Payments_Raw!$B:$B,A82)=0,"Unpaid",IF(N82&gt;=G82,"Paid",IF(N82&gt;0,"Partial Payment",IF(COUNTIFS(Payments_Raw!$B:$B,A82,Payments_Raw!$F:$F,"Failed")&gt;0,"Failed",IF(COUNTIFS(Payments_Raw!$B:$B,A82,Payments_Raw!$F:$F,"Pending")&gt;0,"Pending","Unpaid")))))</f>
        <v>Paid</v>
      </c>
      <c r="N82" s="8">
        <f>SUMIFS(Payments_Raw!$E:$E,Payments_Raw!$B:$B,A82,Payments_Raw!$F:$F,"Successful")</f>
        <v>13853.57</v>
      </c>
      <c r="O82" s="26">
        <f t="shared" si="5"/>
        <v>0</v>
      </c>
      <c r="P82" s="9" t="str">
        <f t="shared" si="6"/>
        <v>No Exception</v>
      </c>
      <c r="Q82" s="14" t="str">
        <f t="shared" si="7"/>
        <v>Not Overdue</v>
      </c>
      <c r="R82" s="14"/>
    </row>
    <row r="83" spans="1:18" x14ac:dyDescent="0.25">
      <c r="A83" s="18" t="s">
        <v>284</v>
      </c>
      <c r="B83" s="8" t="s">
        <v>20</v>
      </c>
      <c r="C83" s="8" t="s">
        <v>285</v>
      </c>
      <c r="D83" s="8" t="s">
        <v>286</v>
      </c>
      <c r="E83" s="19">
        <v>46170</v>
      </c>
      <c r="F83" s="19">
        <v>46185</v>
      </c>
      <c r="G83" s="8">
        <v>17709.060000000001</v>
      </c>
      <c r="H83" s="8" t="s">
        <v>15</v>
      </c>
      <c r="I83" s="8" t="s">
        <v>39</v>
      </c>
      <c r="J83" s="8" t="s">
        <v>17</v>
      </c>
      <c r="K83" s="8" t="s">
        <v>24</v>
      </c>
      <c r="L83" t="str">
        <f t="shared" si="4"/>
        <v>Unique</v>
      </c>
      <c r="M83" s="8" t="str">
        <f>IF(COUNTIF(Payments_Raw!$B:$B,A83)=0,"Unpaid",IF(N83&gt;=G83,"Paid",IF(N83&gt;0,"Partial Payment",IF(COUNTIFS(Payments_Raw!$B:$B,A83,Payments_Raw!$F:$F,"Failed")&gt;0,"Failed",IF(COUNTIFS(Payments_Raw!$B:$B,A83,Payments_Raw!$F:$F,"Pending")&gt;0,"Pending","Unpaid")))))</f>
        <v>Paid</v>
      </c>
      <c r="N83" s="8">
        <f>SUMIFS(Payments_Raw!$E:$E,Payments_Raw!$B:$B,A83,Payments_Raw!$F:$F,"Successful")</f>
        <v>17709.060000000001</v>
      </c>
      <c r="O83" s="26">
        <f t="shared" si="5"/>
        <v>0</v>
      </c>
      <c r="P83" s="9" t="str">
        <f t="shared" si="6"/>
        <v>No Exception</v>
      </c>
      <c r="Q83" s="14" t="str">
        <f t="shared" si="7"/>
        <v>Not Overdue</v>
      </c>
      <c r="R83" s="14"/>
    </row>
    <row r="84" spans="1:18" x14ac:dyDescent="0.25">
      <c r="A84" s="18" t="s">
        <v>287</v>
      </c>
      <c r="B84" s="8" t="s">
        <v>170</v>
      </c>
      <c r="C84" s="8" t="s">
        <v>288</v>
      </c>
      <c r="D84" s="8" t="s">
        <v>289</v>
      </c>
      <c r="E84" s="19">
        <v>46124</v>
      </c>
      <c r="F84" s="19">
        <v>46154</v>
      </c>
      <c r="G84" s="8">
        <v>10697.46</v>
      </c>
      <c r="H84" s="8" t="s">
        <v>15</v>
      </c>
      <c r="I84" s="8" t="s">
        <v>23</v>
      </c>
      <c r="J84" s="8" t="s">
        <v>17</v>
      </c>
      <c r="K84" s="8" t="s">
        <v>18</v>
      </c>
      <c r="L84" t="str">
        <f t="shared" si="4"/>
        <v>Duplicate</v>
      </c>
      <c r="M84" s="8" t="str">
        <f>IF(COUNTIF(Payments_Raw!$B:$B,A84)=0,"Unpaid",IF(N84&gt;=G84,"Paid",IF(N84&gt;0,"Partial Payment",IF(COUNTIFS(Payments_Raw!$B:$B,A84,Payments_Raw!$F:$F,"Failed")&gt;0,"Failed",IF(COUNTIFS(Payments_Raw!$B:$B,A84,Payments_Raw!$F:$F,"Pending")&gt;0,"Pending","Unpaid")))))</f>
        <v>Paid</v>
      </c>
      <c r="N84" s="8">
        <f>SUMIFS(Payments_Raw!$E:$E,Payments_Raw!$B:$B,A84,Payments_Raw!$F:$F,"Successful")</f>
        <v>10697.46</v>
      </c>
      <c r="O84" s="26">
        <f t="shared" si="5"/>
        <v>0</v>
      </c>
      <c r="P84" s="9" t="str">
        <f t="shared" si="6"/>
        <v>Duplicate Invoice</v>
      </c>
      <c r="Q84" s="14" t="str">
        <f t="shared" si="7"/>
        <v>Not Overdue</v>
      </c>
      <c r="R84" s="14"/>
    </row>
    <row r="85" spans="1:18" x14ac:dyDescent="0.25">
      <c r="A85" s="18" t="s">
        <v>290</v>
      </c>
      <c r="B85" s="8" t="s">
        <v>89</v>
      </c>
      <c r="C85" s="8" t="s">
        <v>291</v>
      </c>
      <c r="D85" s="8" t="s">
        <v>292</v>
      </c>
      <c r="E85" s="19">
        <v>46107</v>
      </c>
      <c r="F85" s="19">
        <v>46122</v>
      </c>
      <c r="G85" s="8">
        <v>19840.599999999999</v>
      </c>
      <c r="H85" s="8" t="s">
        <v>15</v>
      </c>
      <c r="I85" s="8" t="s">
        <v>16</v>
      </c>
      <c r="J85" s="8" t="s">
        <v>17</v>
      </c>
      <c r="K85" s="8" t="s">
        <v>63</v>
      </c>
      <c r="L85" t="str">
        <f t="shared" si="4"/>
        <v>Unique</v>
      </c>
      <c r="M85" s="8" t="str">
        <f>IF(COUNTIF(Payments_Raw!$B:$B,A85)=0,"Unpaid",IF(N85&gt;=G85,"Paid",IF(N85&gt;0,"Partial Payment",IF(COUNTIFS(Payments_Raw!$B:$B,A85,Payments_Raw!$F:$F,"Failed")&gt;0,"Failed",IF(COUNTIFS(Payments_Raw!$B:$B,A85,Payments_Raw!$F:$F,"Pending")&gt;0,"Pending","Unpaid")))))</f>
        <v>Paid</v>
      </c>
      <c r="N85" s="8">
        <f>SUMIFS(Payments_Raw!$E:$E,Payments_Raw!$B:$B,A85,Payments_Raw!$F:$F,"Successful")</f>
        <v>19840.599999999999</v>
      </c>
      <c r="O85" s="26">
        <f t="shared" si="5"/>
        <v>0</v>
      </c>
      <c r="P85" s="9" t="str">
        <f t="shared" si="6"/>
        <v>No Exception</v>
      </c>
      <c r="Q85" s="14" t="str">
        <f t="shared" si="7"/>
        <v>Not Overdue</v>
      </c>
      <c r="R85" s="14"/>
    </row>
    <row r="86" spans="1:18" x14ac:dyDescent="0.25">
      <c r="A86" s="18" t="s">
        <v>293</v>
      </c>
      <c r="B86" s="8" t="s">
        <v>41</v>
      </c>
      <c r="C86" s="8" t="s">
        <v>294</v>
      </c>
      <c r="D86" s="8" t="s">
        <v>295</v>
      </c>
      <c r="E86" s="19">
        <v>46162</v>
      </c>
      <c r="F86" s="19">
        <v>46177</v>
      </c>
      <c r="G86" s="8">
        <v>12571.75</v>
      </c>
      <c r="H86" s="8" t="s">
        <v>15</v>
      </c>
      <c r="I86" s="8" t="s">
        <v>29</v>
      </c>
      <c r="J86" s="8" t="s">
        <v>17</v>
      </c>
      <c r="K86" s="8" t="s">
        <v>63</v>
      </c>
      <c r="L86" t="str">
        <f t="shared" si="4"/>
        <v>Unique</v>
      </c>
      <c r="M86" s="8" t="str">
        <f>IF(COUNTIF(Payments_Raw!$B:$B,A86)=0,"Unpaid",IF(N86&gt;=G86,"Paid",IF(N86&gt;0,"Partial Payment",IF(COUNTIFS(Payments_Raw!$B:$B,A86,Payments_Raw!$F:$F,"Failed")&gt;0,"Failed",IF(COUNTIFS(Payments_Raw!$B:$B,A86,Payments_Raw!$F:$F,"Pending")&gt;0,"Pending","Unpaid")))))</f>
        <v>Paid</v>
      </c>
      <c r="N86" s="8">
        <f>SUMIFS(Payments_Raw!$E:$E,Payments_Raw!$B:$B,A86,Payments_Raw!$F:$F,"Successful")</f>
        <v>12571.75</v>
      </c>
      <c r="O86" s="26">
        <f t="shared" si="5"/>
        <v>0</v>
      </c>
      <c r="P86" s="9" t="str">
        <f t="shared" si="6"/>
        <v>No Exception</v>
      </c>
      <c r="Q86" s="14" t="str">
        <f t="shared" si="7"/>
        <v>Not Overdue</v>
      </c>
      <c r="R86" s="14"/>
    </row>
    <row r="87" spans="1:18" x14ac:dyDescent="0.25">
      <c r="A87" s="18" t="s">
        <v>296</v>
      </c>
      <c r="B87" s="8" t="s">
        <v>138</v>
      </c>
      <c r="C87" s="8" t="s">
        <v>297</v>
      </c>
      <c r="D87" s="8" t="s">
        <v>298</v>
      </c>
      <c r="E87" s="19">
        <v>46151</v>
      </c>
      <c r="F87" s="19">
        <v>46196</v>
      </c>
      <c r="G87" s="8">
        <v>763.52</v>
      </c>
      <c r="H87" s="8" t="s">
        <v>15</v>
      </c>
      <c r="I87" s="8" t="s">
        <v>23</v>
      </c>
      <c r="J87" s="8" t="s">
        <v>17</v>
      </c>
      <c r="K87" s="8" t="s">
        <v>18</v>
      </c>
      <c r="L87" t="str">
        <f t="shared" si="4"/>
        <v>Unique</v>
      </c>
      <c r="M87" s="8" t="str">
        <f>IF(COUNTIF(Payments_Raw!$B:$B,A87)=0,"Unpaid",IF(N87&gt;=G87,"Paid",IF(N87&gt;0,"Partial Payment",IF(COUNTIFS(Payments_Raw!$B:$B,A87,Payments_Raw!$F:$F,"Failed")&gt;0,"Failed",IF(COUNTIFS(Payments_Raw!$B:$B,A87,Payments_Raw!$F:$F,"Pending")&gt;0,"Pending","Unpaid")))))</f>
        <v>Pending</v>
      </c>
      <c r="N87" s="8">
        <f>SUMIFS(Payments_Raw!$E:$E,Payments_Raw!$B:$B,A87,Payments_Raw!$F:$F,"Successful")</f>
        <v>0</v>
      </c>
      <c r="O87" s="26">
        <f t="shared" si="5"/>
        <v>763.52</v>
      </c>
      <c r="P87" s="9" t="str">
        <f t="shared" si="6"/>
        <v>Pending Payment</v>
      </c>
      <c r="Q87" s="14" t="str">
        <f t="shared" si="7"/>
        <v>Overdue</v>
      </c>
      <c r="R87" s="14"/>
    </row>
    <row r="88" spans="1:18" x14ac:dyDescent="0.25">
      <c r="A88" s="18" t="s">
        <v>299</v>
      </c>
      <c r="B88" s="8" t="s">
        <v>49</v>
      </c>
      <c r="C88" s="8" t="s">
        <v>300</v>
      </c>
      <c r="D88" s="8" t="s">
        <v>301</v>
      </c>
      <c r="E88" s="19">
        <v>46043</v>
      </c>
      <c r="F88" s="19">
        <v>46073</v>
      </c>
      <c r="G88" s="8">
        <v>19106.150000000001</v>
      </c>
      <c r="H88" s="8" t="s">
        <v>15</v>
      </c>
      <c r="I88" s="8" t="s">
        <v>16</v>
      </c>
      <c r="J88" s="8" t="s">
        <v>17</v>
      </c>
      <c r="K88" s="8" t="s">
        <v>24</v>
      </c>
      <c r="L88" t="str">
        <f t="shared" si="4"/>
        <v>Unique</v>
      </c>
      <c r="M88" s="8" t="str">
        <f>IF(COUNTIF(Payments_Raw!$B:$B,A88)=0,"Unpaid",IF(N88&gt;=G88,"Paid",IF(N88&gt;0,"Partial Payment",IF(COUNTIFS(Payments_Raw!$B:$B,A88,Payments_Raw!$F:$F,"Failed")&gt;0,"Failed",IF(COUNTIFS(Payments_Raw!$B:$B,A88,Payments_Raw!$F:$F,"Pending")&gt;0,"Pending","Unpaid")))))</f>
        <v>Paid</v>
      </c>
      <c r="N88" s="8">
        <f>SUMIFS(Payments_Raw!$E:$E,Payments_Raw!$B:$B,A88,Payments_Raw!$F:$F,"Successful")</f>
        <v>19679.330000000002</v>
      </c>
      <c r="O88" s="26">
        <f t="shared" si="5"/>
        <v>-573.18000000000029</v>
      </c>
      <c r="P88" s="9" t="str">
        <f t="shared" si="6"/>
        <v>No Exception</v>
      </c>
      <c r="Q88" s="14" t="str">
        <f t="shared" si="7"/>
        <v>Not Overdue</v>
      </c>
      <c r="R88" s="14"/>
    </row>
    <row r="89" spans="1:18" x14ac:dyDescent="0.25">
      <c r="A89" s="18" t="s">
        <v>302</v>
      </c>
      <c r="B89" s="8" t="s">
        <v>85</v>
      </c>
      <c r="C89" s="8" t="s">
        <v>303</v>
      </c>
      <c r="D89" s="8" t="s">
        <v>304</v>
      </c>
      <c r="E89" s="19">
        <v>46274</v>
      </c>
      <c r="F89" s="19">
        <v>46319</v>
      </c>
      <c r="G89" s="8">
        <v>24230.09</v>
      </c>
      <c r="H89" s="8" t="s">
        <v>15</v>
      </c>
      <c r="I89" s="8" t="s">
        <v>16</v>
      </c>
      <c r="J89" s="8" t="s">
        <v>30</v>
      </c>
      <c r="K89" s="8" t="s">
        <v>18</v>
      </c>
      <c r="L89" t="str">
        <f t="shared" si="4"/>
        <v>Unique</v>
      </c>
      <c r="M89" s="8" t="str">
        <f>IF(COUNTIF(Payments_Raw!$B:$B,A89)=0,"Unpaid",IF(N89&gt;=G89,"Paid",IF(N89&gt;0,"Partial Payment",IF(COUNTIFS(Payments_Raw!$B:$B,A89,Payments_Raw!$F:$F,"Failed")&gt;0,"Failed",IF(COUNTIFS(Payments_Raw!$B:$B,A89,Payments_Raw!$F:$F,"Pending")&gt;0,"Pending","Unpaid")))))</f>
        <v>Paid</v>
      </c>
      <c r="N89" s="8">
        <f>SUMIFS(Payments_Raw!$E:$E,Payments_Raw!$B:$B,A89,Payments_Raw!$F:$F,"Successful")</f>
        <v>24230.09</v>
      </c>
      <c r="O89" s="26">
        <f t="shared" si="5"/>
        <v>0</v>
      </c>
      <c r="P89" s="9" t="str">
        <f t="shared" si="6"/>
        <v>No Exception</v>
      </c>
      <c r="Q89" s="14" t="str">
        <f t="shared" si="7"/>
        <v>Not Overdue</v>
      </c>
      <c r="R89" s="14"/>
    </row>
    <row r="90" spans="1:18" x14ac:dyDescent="0.25">
      <c r="A90" s="18" t="s">
        <v>305</v>
      </c>
      <c r="B90" s="8" t="s">
        <v>26</v>
      </c>
      <c r="C90" s="8" t="s">
        <v>306</v>
      </c>
      <c r="D90" s="8" t="s">
        <v>307</v>
      </c>
      <c r="E90" s="19">
        <v>46233</v>
      </c>
      <c r="F90" s="19">
        <v>46263</v>
      </c>
      <c r="G90" s="8">
        <v>17378.599999999999</v>
      </c>
      <c r="H90" s="8" t="s">
        <v>15</v>
      </c>
      <c r="I90" s="8" t="s">
        <v>39</v>
      </c>
      <c r="J90" s="8" t="s">
        <v>30</v>
      </c>
      <c r="K90" s="8" t="s">
        <v>18</v>
      </c>
      <c r="L90" t="str">
        <f t="shared" si="4"/>
        <v>Unique</v>
      </c>
      <c r="M90" s="8" t="str">
        <f>IF(COUNTIF(Payments_Raw!$B:$B,A90)=0,"Unpaid",IF(N90&gt;=G90,"Paid",IF(N90&gt;0,"Partial Payment",IF(COUNTIFS(Payments_Raw!$B:$B,A90,Payments_Raw!$F:$F,"Failed")&gt;0,"Failed",IF(COUNTIFS(Payments_Raw!$B:$B,A90,Payments_Raw!$F:$F,"Pending")&gt;0,"Pending","Unpaid")))))</f>
        <v>Paid</v>
      </c>
      <c r="N90" s="8">
        <f>SUMIFS(Payments_Raw!$E:$E,Payments_Raw!$B:$B,A90,Payments_Raw!$F:$F,"Successful")</f>
        <v>17378.599999999999</v>
      </c>
      <c r="O90" s="26">
        <f t="shared" si="5"/>
        <v>0</v>
      </c>
      <c r="P90" s="9" t="str">
        <f t="shared" si="6"/>
        <v>No Exception</v>
      </c>
      <c r="Q90" s="14" t="str">
        <f t="shared" si="7"/>
        <v>Not Overdue</v>
      </c>
      <c r="R90" s="14"/>
    </row>
    <row r="91" spans="1:18" x14ac:dyDescent="0.25">
      <c r="A91" s="18" t="s">
        <v>308</v>
      </c>
      <c r="B91" s="8" t="s">
        <v>26</v>
      </c>
      <c r="C91" s="8" t="s">
        <v>309</v>
      </c>
      <c r="D91" s="8" t="s">
        <v>310</v>
      </c>
      <c r="E91" s="19">
        <v>46152</v>
      </c>
      <c r="F91" s="19">
        <v>46182</v>
      </c>
      <c r="G91" s="8">
        <v>8163.05</v>
      </c>
      <c r="H91" s="8" t="s">
        <v>15</v>
      </c>
      <c r="I91" s="8" t="s">
        <v>39</v>
      </c>
      <c r="J91" s="8" t="s">
        <v>30</v>
      </c>
      <c r="K91" s="8" t="s">
        <v>24</v>
      </c>
      <c r="L91" t="str">
        <f t="shared" si="4"/>
        <v>Unique</v>
      </c>
      <c r="M91" s="8" t="str">
        <f>IF(COUNTIF(Payments_Raw!$B:$B,A91)=0,"Unpaid",IF(N91&gt;=G91,"Paid",IF(N91&gt;0,"Partial Payment",IF(COUNTIFS(Payments_Raw!$B:$B,A91,Payments_Raw!$F:$F,"Failed")&gt;0,"Failed",IF(COUNTIFS(Payments_Raw!$B:$B,A91,Payments_Raw!$F:$F,"Pending")&gt;0,"Pending","Unpaid")))))</f>
        <v>Paid</v>
      </c>
      <c r="N91" s="8">
        <f>SUMIFS(Payments_Raw!$E:$E,Payments_Raw!$B:$B,A91,Payments_Raw!$F:$F,"Successful")</f>
        <v>8163.05</v>
      </c>
      <c r="O91" s="26">
        <f t="shared" si="5"/>
        <v>0</v>
      </c>
      <c r="P91" s="9" t="str">
        <f t="shared" si="6"/>
        <v>No Exception</v>
      </c>
      <c r="Q91" s="14" t="str">
        <f t="shared" si="7"/>
        <v>Not Overdue</v>
      </c>
      <c r="R91" s="14"/>
    </row>
    <row r="92" spans="1:18" x14ac:dyDescent="0.25">
      <c r="A92" s="18" t="s">
        <v>311</v>
      </c>
      <c r="B92" s="8" t="s">
        <v>112</v>
      </c>
      <c r="C92" s="8" t="s">
        <v>312</v>
      </c>
      <c r="D92" s="8" t="s">
        <v>313</v>
      </c>
      <c r="E92" s="19">
        <v>46234</v>
      </c>
      <c r="F92" s="19">
        <v>46249</v>
      </c>
      <c r="G92" s="8">
        <v>1468.6</v>
      </c>
      <c r="H92" s="8" t="s">
        <v>15</v>
      </c>
      <c r="I92" s="8" t="s">
        <v>16</v>
      </c>
      <c r="J92" s="8" t="s">
        <v>17</v>
      </c>
      <c r="K92" s="8" t="s">
        <v>18</v>
      </c>
      <c r="L92" t="str">
        <f t="shared" si="4"/>
        <v>Unique</v>
      </c>
      <c r="M92" s="8" t="str">
        <f>IF(COUNTIF(Payments_Raw!$B:$B,A92)=0,"Unpaid",IF(N92&gt;=G92,"Paid",IF(N92&gt;0,"Partial Payment",IF(COUNTIFS(Payments_Raw!$B:$B,A92,Payments_Raw!$F:$F,"Failed")&gt;0,"Failed",IF(COUNTIFS(Payments_Raw!$B:$B,A92,Payments_Raw!$F:$F,"Pending")&gt;0,"Pending","Unpaid")))))</f>
        <v>Unpaid</v>
      </c>
      <c r="N92" s="8">
        <f>SUMIFS(Payments_Raw!$E:$E,Payments_Raw!$B:$B,A92,Payments_Raw!$F:$F,"Successful")</f>
        <v>0</v>
      </c>
      <c r="O92" s="26">
        <f t="shared" si="5"/>
        <v>1468.6</v>
      </c>
      <c r="P92" s="9" t="str">
        <f t="shared" si="6"/>
        <v>Unpaid Invoice</v>
      </c>
      <c r="Q92" s="14" t="str">
        <f t="shared" si="7"/>
        <v>Overdue</v>
      </c>
      <c r="R92" s="14"/>
    </row>
    <row r="93" spans="1:18" x14ac:dyDescent="0.25">
      <c r="A93" s="18" t="s">
        <v>314</v>
      </c>
      <c r="B93" s="8" t="s">
        <v>53</v>
      </c>
      <c r="C93" s="8" t="s">
        <v>315</v>
      </c>
      <c r="D93" s="8" t="s">
        <v>316</v>
      </c>
      <c r="E93" s="19">
        <v>46159</v>
      </c>
      <c r="F93" s="19">
        <v>46189</v>
      </c>
      <c r="G93" s="8">
        <v>13784.58</v>
      </c>
      <c r="H93" s="8" t="s">
        <v>15</v>
      </c>
      <c r="I93" s="8" t="s">
        <v>16</v>
      </c>
      <c r="J93" s="8" t="s">
        <v>30</v>
      </c>
      <c r="K93" s="8" t="s">
        <v>24</v>
      </c>
      <c r="L93" t="str">
        <f t="shared" si="4"/>
        <v>Unique</v>
      </c>
      <c r="M93" s="8" t="str">
        <f>IF(COUNTIF(Payments_Raw!$B:$B,A93)=0,"Unpaid",IF(N93&gt;=G93,"Paid",IF(N93&gt;0,"Partial Payment",IF(COUNTIFS(Payments_Raw!$B:$B,A93,Payments_Raw!$F:$F,"Failed")&gt;0,"Failed",IF(COUNTIFS(Payments_Raw!$B:$B,A93,Payments_Raw!$F:$F,"Pending")&gt;0,"Pending","Unpaid")))))</f>
        <v>Paid</v>
      </c>
      <c r="N93" s="8">
        <f>SUMIFS(Payments_Raw!$E:$E,Payments_Raw!$B:$B,A93,Payments_Raw!$F:$F,"Successful")</f>
        <v>13784.58</v>
      </c>
      <c r="O93" s="26">
        <f t="shared" si="5"/>
        <v>0</v>
      </c>
      <c r="P93" s="9" t="str">
        <f t="shared" si="6"/>
        <v>No Exception</v>
      </c>
      <c r="Q93" s="14" t="str">
        <f t="shared" si="7"/>
        <v>Not Overdue</v>
      </c>
      <c r="R93" s="14"/>
    </row>
    <row r="94" spans="1:18" x14ac:dyDescent="0.25">
      <c r="A94" s="18" t="s">
        <v>317</v>
      </c>
      <c r="B94" s="8" t="s">
        <v>138</v>
      </c>
      <c r="C94" s="8" t="s">
        <v>318</v>
      </c>
      <c r="D94" s="8" t="s">
        <v>319</v>
      </c>
      <c r="E94" s="19">
        <v>46145</v>
      </c>
      <c r="F94" s="19">
        <v>46190</v>
      </c>
      <c r="G94" s="8">
        <v>17779.400000000001</v>
      </c>
      <c r="H94" s="8" t="s">
        <v>15</v>
      </c>
      <c r="I94" s="8" t="s">
        <v>16</v>
      </c>
      <c r="J94" s="8" t="s">
        <v>17</v>
      </c>
      <c r="K94" s="8" t="s">
        <v>18</v>
      </c>
      <c r="L94" t="str">
        <f t="shared" si="4"/>
        <v>Unique</v>
      </c>
      <c r="M94" s="8" t="str">
        <f>IF(COUNTIF(Payments_Raw!$B:$B,A94)=0,"Unpaid",IF(N94&gt;=G94,"Paid",IF(N94&gt;0,"Partial Payment",IF(COUNTIFS(Payments_Raw!$B:$B,A94,Payments_Raw!$F:$F,"Failed")&gt;0,"Failed",IF(COUNTIFS(Payments_Raw!$B:$B,A94,Payments_Raw!$F:$F,"Pending")&gt;0,"Pending","Unpaid")))))</f>
        <v>Paid</v>
      </c>
      <c r="N94" s="8">
        <f>SUMIFS(Payments_Raw!$E:$E,Payments_Raw!$B:$B,A94,Payments_Raw!$F:$F,"Successful")</f>
        <v>17779.400000000001</v>
      </c>
      <c r="O94" s="26">
        <f t="shared" si="5"/>
        <v>0</v>
      </c>
      <c r="P94" s="9" t="str">
        <f t="shared" si="6"/>
        <v>No Exception</v>
      </c>
      <c r="Q94" s="14" t="str">
        <f t="shared" si="7"/>
        <v>Not Overdue</v>
      </c>
      <c r="R94" s="14"/>
    </row>
    <row r="95" spans="1:18" x14ac:dyDescent="0.25">
      <c r="A95" s="18" t="s">
        <v>320</v>
      </c>
      <c r="B95" s="8" t="s">
        <v>112</v>
      </c>
      <c r="C95" s="8" t="s">
        <v>321</v>
      </c>
      <c r="D95" s="8" t="s">
        <v>322</v>
      </c>
      <c r="E95" s="19">
        <v>46083</v>
      </c>
      <c r="F95" s="19">
        <v>46098</v>
      </c>
      <c r="G95" s="8">
        <v>16235.02</v>
      </c>
      <c r="H95" s="8" t="s">
        <v>15</v>
      </c>
      <c r="I95" s="8" t="s">
        <v>39</v>
      </c>
      <c r="J95" s="8" t="s">
        <v>17</v>
      </c>
      <c r="K95" s="8" t="s">
        <v>63</v>
      </c>
      <c r="L95" t="str">
        <f t="shared" si="4"/>
        <v>Unique</v>
      </c>
      <c r="M95" s="8" t="str">
        <f>IF(COUNTIF(Payments_Raw!$B:$B,A95)=0,"Unpaid",IF(N95&gt;=G95,"Paid",IF(N95&gt;0,"Partial Payment",IF(COUNTIFS(Payments_Raw!$B:$B,A95,Payments_Raw!$F:$F,"Failed")&gt;0,"Failed",IF(COUNTIFS(Payments_Raw!$B:$B,A95,Payments_Raw!$F:$F,"Pending")&gt;0,"Pending","Unpaid")))))</f>
        <v>Paid</v>
      </c>
      <c r="N95" s="8">
        <f>SUMIFS(Payments_Raw!$E:$E,Payments_Raw!$B:$B,A95,Payments_Raw!$F:$F,"Successful")</f>
        <v>16235.02</v>
      </c>
      <c r="O95" s="26">
        <f t="shared" si="5"/>
        <v>0</v>
      </c>
      <c r="P95" s="9" t="str">
        <f t="shared" si="6"/>
        <v>No Exception</v>
      </c>
      <c r="Q95" s="14" t="str">
        <f t="shared" si="7"/>
        <v>Not Overdue</v>
      </c>
      <c r="R95" s="14"/>
    </row>
    <row r="96" spans="1:18" x14ac:dyDescent="0.25">
      <c r="A96" s="18" t="s">
        <v>323</v>
      </c>
      <c r="B96" s="8" t="s">
        <v>75</v>
      </c>
      <c r="C96" s="8" t="s">
        <v>324</v>
      </c>
      <c r="D96" s="8" t="s">
        <v>325</v>
      </c>
      <c r="E96" s="19">
        <v>46147</v>
      </c>
      <c r="F96" s="19">
        <v>46162</v>
      </c>
      <c r="G96" s="8">
        <v>11484.85</v>
      </c>
      <c r="H96" s="8" t="s">
        <v>15</v>
      </c>
      <c r="I96" s="8" t="s">
        <v>16</v>
      </c>
      <c r="J96" s="8" t="s">
        <v>17</v>
      </c>
      <c r="K96" s="8" t="s">
        <v>18</v>
      </c>
      <c r="L96" t="str">
        <f t="shared" si="4"/>
        <v>Unique</v>
      </c>
      <c r="M96" s="8" t="str">
        <f>IF(COUNTIF(Payments_Raw!$B:$B,A96)=0,"Unpaid",IF(N96&gt;=G96,"Paid",IF(N96&gt;0,"Partial Payment",IF(COUNTIFS(Payments_Raw!$B:$B,A96,Payments_Raw!$F:$F,"Failed")&gt;0,"Failed",IF(COUNTIFS(Payments_Raw!$B:$B,A96,Payments_Raw!$F:$F,"Pending")&gt;0,"Pending","Unpaid")))))</f>
        <v>Paid</v>
      </c>
      <c r="N96" s="8">
        <f>SUMIFS(Payments_Raw!$E:$E,Payments_Raw!$B:$B,A96,Payments_Raw!$F:$F,"Successful")</f>
        <v>11484.85</v>
      </c>
      <c r="O96" s="26">
        <f t="shared" si="5"/>
        <v>0</v>
      </c>
      <c r="P96" s="9" t="str">
        <f t="shared" si="6"/>
        <v>No Exception</v>
      </c>
      <c r="Q96" s="14" t="str">
        <f t="shared" si="7"/>
        <v>Not Overdue</v>
      </c>
      <c r="R96" s="14"/>
    </row>
    <row r="97" spans="1:18" x14ac:dyDescent="0.25">
      <c r="A97" s="18" t="s">
        <v>326</v>
      </c>
      <c r="B97" s="8" t="s">
        <v>49</v>
      </c>
      <c r="C97" s="8" t="s">
        <v>327</v>
      </c>
      <c r="D97" s="8" t="s">
        <v>328</v>
      </c>
      <c r="E97" s="19">
        <v>46235</v>
      </c>
      <c r="F97" s="19">
        <v>46265</v>
      </c>
      <c r="G97" s="8">
        <v>8576.1</v>
      </c>
      <c r="H97" s="8" t="s">
        <v>15</v>
      </c>
      <c r="I97" s="8" t="s">
        <v>29</v>
      </c>
      <c r="J97" s="8" t="s">
        <v>17</v>
      </c>
      <c r="K97" s="8" t="s">
        <v>24</v>
      </c>
      <c r="L97" t="str">
        <f t="shared" si="4"/>
        <v>Unique</v>
      </c>
      <c r="M97" s="8" t="str">
        <f>IF(COUNTIF(Payments_Raw!$B:$B,A97)=0,"Unpaid",IF(N97&gt;=G97,"Paid",IF(N97&gt;0,"Partial Payment",IF(COUNTIFS(Payments_Raw!$B:$B,A97,Payments_Raw!$F:$F,"Failed")&gt;0,"Failed",IF(COUNTIFS(Payments_Raw!$B:$B,A97,Payments_Raw!$F:$F,"Pending")&gt;0,"Pending","Unpaid")))))</f>
        <v>Failed</v>
      </c>
      <c r="N97" s="8">
        <f>SUMIFS(Payments_Raw!$E:$E,Payments_Raw!$B:$B,A97,Payments_Raw!$F:$F,"Successful")</f>
        <v>0</v>
      </c>
      <c r="O97" s="26">
        <f t="shared" si="5"/>
        <v>8576.1</v>
      </c>
      <c r="P97" s="9" t="str">
        <f t="shared" si="6"/>
        <v>Failed Payment</v>
      </c>
      <c r="Q97" s="14" t="str">
        <f t="shared" si="7"/>
        <v>Overdue</v>
      </c>
      <c r="R97" s="14"/>
    </row>
    <row r="98" spans="1:18" x14ac:dyDescent="0.25">
      <c r="A98" s="18" t="s">
        <v>329</v>
      </c>
      <c r="B98" s="8" t="s">
        <v>170</v>
      </c>
      <c r="C98" s="8" t="s">
        <v>330</v>
      </c>
      <c r="D98" s="8" t="s">
        <v>331</v>
      </c>
      <c r="E98" s="19">
        <v>46273</v>
      </c>
      <c r="F98" s="19">
        <v>46303</v>
      </c>
      <c r="G98" s="8">
        <v>21647.68</v>
      </c>
      <c r="H98" s="8" t="s">
        <v>15</v>
      </c>
      <c r="I98" s="8" t="s">
        <v>16</v>
      </c>
      <c r="J98" s="8" t="s">
        <v>17</v>
      </c>
      <c r="K98" s="8" t="s">
        <v>63</v>
      </c>
      <c r="L98" t="str">
        <f t="shared" si="4"/>
        <v>Unique</v>
      </c>
      <c r="M98" s="8" t="str">
        <f>IF(COUNTIF(Payments_Raw!$B:$B,A98)=0,"Unpaid",IF(N98&gt;=G98,"Paid",IF(N98&gt;0,"Partial Payment",IF(COUNTIFS(Payments_Raw!$B:$B,A98,Payments_Raw!$F:$F,"Failed")&gt;0,"Failed",IF(COUNTIFS(Payments_Raw!$B:$B,A98,Payments_Raw!$F:$F,"Pending")&gt;0,"Pending","Unpaid")))))</f>
        <v>Unpaid</v>
      </c>
      <c r="N98" s="8">
        <f>SUMIFS(Payments_Raw!$E:$E,Payments_Raw!$B:$B,A98,Payments_Raw!$F:$F,"Successful")</f>
        <v>0</v>
      </c>
      <c r="O98" s="26">
        <f t="shared" si="5"/>
        <v>21647.68</v>
      </c>
      <c r="P98" s="9" t="str">
        <f t="shared" si="6"/>
        <v>Unpaid Invoice</v>
      </c>
      <c r="Q98" s="14" t="str">
        <f t="shared" si="7"/>
        <v>Overdue</v>
      </c>
      <c r="R98" s="14"/>
    </row>
    <row r="99" spans="1:18" x14ac:dyDescent="0.25">
      <c r="A99" s="18" t="s">
        <v>332</v>
      </c>
      <c r="B99" s="8" t="s">
        <v>112</v>
      </c>
      <c r="C99" s="8" t="s">
        <v>333</v>
      </c>
      <c r="D99" s="8" t="s">
        <v>334</v>
      </c>
      <c r="E99" s="19">
        <v>46187</v>
      </c>
      <c r="F99" s="19">
        <v>46202</v>
      </c>
      <c r="G99" s="8">
        <v>21755.69</v>
      </c>
      <c r="H99" s="8" t="s">
        <v>15</v>
      </c>
      <c r="I99" s="8" t="s">
        <v>16</v>
      </c>
      <c r="J99" s="8" t="s">
        <v>17</v>
      </c>
      <c r="K99" s="8" t="s">
        <v>63</v>
      </c>
      <c r="L99" t="str">
        <f t="shared" si="4"/>
        <v>Unique</v>
      </c>
      <c r="M99" s="8" t="str">
        <f>IF(COUNTIF(Payments_Raw!$B:$B,A99)=0,"Unpaid",IF(N99&gt;=G99,"Paid",IF(N99&gt;0,"Partial Payment",IF(COUNTIFS(Payments_Raw!$B:$B,A99,Payments_Raw!$F:$F,"Failed")&gt;0,"Failed",IF(COUNTIFS(Payments_Raw!$B:$B,A99,Payments_Raw!$F:$F,"Pending")&gt;0,"Pending","Unpaid")))))</f>
        <v>Pending</v>
      </c>
      <c r="N99" s="8">
        <f>SUMIFS(Payments_Raw!$E:$E,Payments_Raw!$B:$B,A99,Payments_Raw!$F:$F,"Successful")</f>
        <v>0</v>
      </c>
      <c r="O99" s="26">
        <f t="shared" si="5"/>
        <v>21755.69</v>
      </c>
      <c r="P99" s="9" t="str">
        <f t="shared" si="6"/>
        <v>Pending Payment</v>
      </c>
      <c r="Q99" s="14" t="str">
        <f t="shared" si="7"/>
        <v>Overdue</v>
      </c>
      <c r="R99" s="14"/>
    </row>
    <row r="100" spans="1:18" x14ac:dyDescent="0.25">
      <c r="A100" s="18" t="s">
        <v>335</v>
      </c>
      <c r="B100" s="8" t="s">
        <v>89</v>
      </c>
      <c r="C100" s="8" t="s">
        <v>336</v>
      </c>
      <c r="D100" s="8" t="s">
        <v>337</v>
      </c>
      <c r="E100" s="19">
        <v>46185</v>
      </c>
      <c r="F100" s="19">
        <v>46200</v>
      </c>
      <c r="G100" s="8">
        <v>18648.259999999998</v>
      </c>
      <c r="H100" s="8" t="s">
        <v>15</v>
      </c>
      <c r="I100" s="8" t="s">
        <v>23</v>
      </c>
      <c r="J100" s="8" t="s">
        <v>17</v>
      </c>
      <c r="K100" s="8" t="s">
        <v>24</v>
      </c>
      <c r="L100" t="str">
        <f t="shared" si="4"/>
        <v>Unique</v>
      </c>
      <c r="M100" s="8" t="str">
        <f>IF(COUNTIF(Payments_Raw!$B:$B,A100)=0,"Unpaid",IF(N100&gt;=G100,"Paid",IF(N100&gt;0,"Partial Payment",IF(COUNTIFS(Payments_Raw!$B:$B,A100,Payments_Raw!$F:$F,"Failed")&gt;0,"Failed",IF(COUNTIFS(Payments_Raw!$B:$B,A100,Payments_Raw!$F:$F,"Pending")&gt;0,"Pending","Unpaid")))))</f>
        <v>Paid</v>
      </c>
      <c r="N100" s="8">
        <f>SUMIFS(Payments_Raw!$E:$E,Payments_Raw!$B:$B,A100,Payments_Raw!$F:$F,"Successful")</f>
        <v>18648.259999999998</v>
      </c>
      <c r="O100" s="26">
        <f t="shared" si="5"/>
        <v>0</v>
      </c>
      <c r="P100" s="9" t="str">
        <f t="shared" si="6"/>
        <v>No Exception</v>
      </c>
      <c r="Q100" s="14" t="str">
        <f t="shared" si="7"/>
        <v>Not Overdue</v>
      </c>
      <c r="R100" s="14"/>
    </row>
    <row r="101" spans="1:18" x14ac:dyDescent="0.25">
      <c r="A101" s="18" t="s">
        <v>338</v>
      </c>
      <c r="B101" s="8" t="s">
        <v>122</v>
      </c>
      <c r="C101" s="8" t="s">
        <v>339</v>
      </c>
      <c r="D101" s="8" t="s">
        <v>340</v>
      </c>
      <c r="E101" s="19">
        <v>46276</v>
      </c>
      <c r="F101" s="19">
        <v>46291</v>
      </c>
      <c r="G101" s="8">
        <v>24124.83</v>
      </c>
      <c r="H101" s="8" t="s">
        <v>15</v>
      </c>
      <c r="I101" s="8" t="s">
        <v>23</v>
      </c>
      <c r="J101" s="8" t="s">
        <v>17</v>
      </c>
      <c r="K101" s="8" t="s">
        <v>63</v>
      </c>
      <c r="L101" t="str">
        <f t="shared" si="4"/>
        <v>Unique</v>
      </c>
      <c r="M101" s="8" t="str">
        <f>IF(COUNTIF(Payments_Raw!$B:$B,A101)=0,"Unpaid",IF(N101&gt;=G101,"Paid",IF(N101&gt;0,"Partial Payment",IF(COUNTIFS(Payments_Raw!$B:$B,A101,Payments_Raw!$F:$F,"Failed")&gt;0,"Failed",IF(COUNTIFS(Payments_Raw!$B:$B,A101,Payments_Raw!$F:$F,"Pending")&gt;0,"Pending","Unpaid")))))</f>
        <v>Failed</v>
      </c>
      <c r="N101" s="8">
        <f>SUMIFS(Payments_Raw!$E:$E,Payments_Raw!$B:$B,A101,Payments_Raw!$F:$F,"Successful")</f>
        <v>0</v>
      </c>
      <c r="O101" s="26">
        <f t="shared" si="5"/>
        <v>24124.83</v>
      </c>
      <c r="P101" s="9" t="str">
        <f t="shared" si="6"/>
        <v>Failed Payment</v>
      </c>
      <c r="Q101" s="14" t="str">
        <f t="shared" si="7"/>
        <v>Overdue</v>
      </c>
      <c r="R101" s="14"/>
    </row>
    <row r="102" spans="1:18" x14ac:dyDescent="0.25">
      <c r="A102" s="18" t="s">
        <v>341</v>
      </c>
      <c r="B102" s="8" t="s">
        <v>45</v>
      </c>
      <c r="C102" s="8" t="s">
        <v>342</v>
      </c>
      <c r="D102" s="8" t="s">
        <v>343</v>
      </c>
      <c r="E102" s="19">
        <v>46292</v>
      </c>
      <c r="F102" s="19">
        <v>46322</v>
      </c>
      <c r="G102" s="8">
        <v>30045.439999999999</v>
      </c>
      <c r="H102" s="8" t="s">
        <v>15</v>
      </c>
      <c r="I102" s="8" t="s">
        <v>29</v>
      </c>
      <c r="J102" s="8" t="s">
        <v>17</v>
      </c>
      <c r="K102" s="8" t="s">
        <v>63</v>
      </c>
      <c r="L102" t="str">
        <f t="shared" si="4"/>
        <v>Unique</v>
      </c>
      <c r="M102" s="8" t="str">
        <f>IF(COUNTIF(Payments_Raw!$B:$B,A102)=0,"Unpaid",IF(N102&gt;=G102,"Paid",IF(N102&gt;0,"Partial Payment",IF(COUNTIFS(Payments_Raw!$B:$B,A102,Payments_Raw!$F:$F,"Failed")&gt;0,"Failed",IF(COUNTIFS(Payments_Raw!$B:$B,A102,Payments_Raw!$F:$F,"Pending")&gt;0,"Pending","Unpaid")))))</f>
        <v>Paid</v>
      </c>
      <c r="N102" s="8">
        <f>SUMIFS(Payments_Raw!$E:$E,Payments_Raw!$B:$B,A102,Payments_Raw!$F:$F,"Successful")</f>
        <v>30045.439999999999</v>
      </c>
      <c r="O102" s="26">
        <f t="shared" si="5"/>
        <v>0</v>
      </c>
      <c r="P102" s="9" t="str">
        <f t="shared" si="6"/>
        <v>No Exception</v>
      </c>
      <c r="Q102" s="14" t="str">
        <f t="shared" si="7"/>
        <v>Not Overdue</v>
      </c>
      <c r="R102" s="14"/>
    </row>
    <row r="103" spans="1:18" x14ac:dyDescent="0.25">
      <c r="A103" s="18" t="s">
        <v>344</v>
      </c>
      <c r="B103" s="8" t="s">
        <v>26</v>
      </c>
      <c r="C103" s="8" t="s">
        <v>345</v>
      </c>
      <c r="D103" s="8" t="s">
        <v>346</v>
      </c>
      <c r="E103" s="19">
        <v>46226</v>
      </c>
      <c r="F103" s="19">
        <v>46256</v>
      </c>
      <c r="G103" s="8">
        <v>16287.94</v>
      </c>
      <c r="H103" s="8" t="s">
        <v>15</v>
      </c>
      <c r="I103" s="8" t="s">
        <v>16</v>
      </c>
      <c r="J103" s="8" t="s">
        <v>17</v>
      </c>
      <c r="K103" s="8" t="s">
        <v>24</v>
      </c>
      <c r="L103" t="str">
        <f t="shared" si="4"/>
        <v>Unique</v>
      </c>
      <c r="M103" s="8" t="str">
        <f>IF(COUNTIF(Payments_Raw!$B:$B,A103)=0,"Unpaid",IF(N103&gt;=G103,"Paid",IF(N103&gt;0,"Partial Payment",IF(COUNTIFS(Payments_Raw!$B:$B,A103,Payments_Raw!$F:$F,"Failed")&gt;0,"Failed",IF(COUNTIFS(Payments_Raw!$B:$B,A103,Payments_Raw!$F:$F,"Pending")&gt;0,"Pending","Unpaid")))))</f>
        <v>Paid</v>
      </c>
      <c r="N103" s="8">
        <f>SUMIFS(Payments_Raw!$E:$E,Payments_Raw!$B:$B,A103,Payments_Raw!$F:$F,"Successful")</f>
        <v>16287.94</v>
      </c>
      <c r="O103" s="26">
        <f t="shared" si="5"/>
        <v>0</v>
      </c>
      <c r="P103" s="9" t="str">
        <f t="shared" si="6"/>
        <v>No Exception</v>
      </c>
      <c r="Q103" s="14" t="str">
        <f t="shared" si="7"/>
        <v>Not Overdue</v>
      </c>
      <c r="R103" s="14"/>
    </row>
    <row r="104" spans="1:18" x14ac:dyDescent="0.25">
      <c r="A104" s="18" t="s">
        <v>347</v>
      </c>
      <c r="B104" s="8" t="s">
        <v>75</v>
      </c>
      <c r="C104" s="8" t="s">
        <v>348</v>
      </c>
      <c r="D104" s="8" t="s">
        <v>349</v>
      </c>
      <c r="E104" s="19">
        <v>46300</v>
      </c>
      <c r="F104" s="19">
        <v>46315</v>
      </c>
      <c r="G104" s="8">
        <v>47090.64</v>
      </c>
      <c r="H104" s="8" t="s">
        <v>15</v>
      </c>
      <c r="I104" s="8" t="s">
        <v>39</v>
      </c>
      <c r="J104" s="8" t="s">
        <v>17</v>
      </c>
      <c r="K104" s="8" t="s">
        <v>18</v>
      </c>
      <c r="L104" t="str">
        <f t="shared" si="4"/>
        <v>Unique</v>
      </c>
      <c r="M104" s="8" t="str">
        <f>IF(COUNTIF(Payments_Raw!$B:$B,A104)=0,"Unpaid",IF(N104&gt;=G104,"Paid",IF(N104&gt;0,"Partial Payment",IF(COUNTIFS(Payments_Raw!$B:$B,A104,Payments_Raw!$F:$F,"Failed")&gt;0,"Failed",IF(COUNTIFS(Payments_Raw!$B:$B,A104,Payments_Raw!$F:$F,"Pending")&gt;0,"Pending","Unpaid")))))</f>
        <v>Paid</v>
      </c>
      <c r="N104" s="8">
        <f>SUMIFS(Payments_Raw!$E:$E,Payments_Raw!$B:$B,A104,Payments_Raw!$F:$F,"Successful")</f>
        <v>47090.64</v>
      </c>
      <c r="O104" s="26">
        <f t="shared" si="5"/>
        <v>0</v>
      </c>
      <c r="P104" s="9" t="str">
        <f t="shared" si="6"/>
        <v>No Exception</v>
      </c>
      <c r="Q104" s="14" t="str">
        <f t="shared" si="7"/>
        <v>Not Overdue</v>
      </c>
      <c r="R104" s="14"/>
    </row>
    <row r="105" spans="1:18" x14ac:dyDescent="0.25">
      <c r="A105" s="18" t="s">
        <v>350</v>
      </c>
      <c r="B105" s="8" t="s">
        <v>45</v>
      </c>
      <c r="C105" s="8" t="s">
        <v>351</v>
      </c>
      <c r="D105" s="8" t="s">
        <v>352</v>
      </c>
      <c r="E105" s="19">
        <v>46250</v>
      </c>
      <c r="F105" s="19">
        <v>46280</v>
      </c>
      <c r="G105" s="8">
        <v>4259.16</v>
      </c>
      <c r="H105" s="8" t="s">
        <v>15</v>
      </c>
      <c r="I105" s="8" t="s">
        <v>16</v>
      </c>
      <c r="J105" s="8" t="s">
        <v>30</v>
      </c>
      <c r="K105" s="8" t="s">
        <v>63</v>
      </c>
      <c r="L105" t="str">
        <f t="shared" si="4"/>
        <v>Unique</v>
      </c>
      <c r="M105" s="8" t="str">
        <f>IF(COUNTIF(Payments_Raw!$B:$B,A105)=0,"Unpaid",IF(N105&gt;=G105,"Paid",IF(N105&gt;0,"Partial Payment",IF(COUNTIFS(Payments_Raw!$B:$B,A105,Payments_Raw!$F:$F,"Failed")&gt;0,"Failed",IF(COUNTIFS(Payments_Raw!$B:$B,A105,Payments_Raw!$F:$F,"Pending")&gt;0,"Pending","Unpaid")))))</f>
        <v>Unpaid</v>
      </c>
      <c r="N105" s="8">
        <f>SUMIFS(Payments_Raw!$E:$E,Payments_Raw!$B:$B,A105,Payments_Raw!$F:$F,"Successful")</f>
        <v>0</v>
      </c>
      <c r="O105" s="26">
        <f t="shared" si="5"/>
        <v>4259.16</v>
      </c>
      <c r="P105" s="9" t="str">
        <f t="shared" si="6"/>
        <v>Unpaid Invoice</v>
      </c>
      <c r="Q105" s="14" t="str">
        <f t="shared" si="7"/>
        <v>Overdue</v>
      </c>
      <c r="R105" s="14"/>
    </row>
    <row r="106" spans="1:18" x14ac:dyDescent="0.25">
      <c r="A106" s="18" t="s">
        <v>353</v>
      </c>
      <c r="B106" s="8" t="s">
        <v>57</v>
      </c>
      <c r="C106" s="8" t="s">
        <v>354</v>
      </c>
      <c r="D106" s="8" t="s">
        <v>355</v>
      </c>
      <c r="E106" s="19">
        <v>46243</v>
      </c>
      <c r="F106" s="19">
        <v>46288</v>
      </c>
      <c r="G106" s="8">
        <v>3741.78</v>
      </c>
      <c r="H106" s="8" t="s">
        <v>15</v>
      </c>
      <c r="I106" s="8" t="s">
        <v>39</v>
      </c>
      <c r="J106" s="8" t="s">
        <v>17</v>
      </c>
      <c r="K106" s="8" t="s">
        <v>18</v>
      </c>
      <c r="L106" t="str">
        <f t="shared" si="4"/>
        <v>Unique</v>
      </c>
      <c r="M106" s="8" t="str">
        <f>IF(COUNTIF(Payments_Raw!$B:$B,A106)=0,"Unpaid",IF(N106&gt;=G106,"Paid",IF(N106&gt;0,"Partial Payment",IF(COUNTIFS(Payments_Raw!$B:$B,A106,Payments_Raw!$F:$F,"Failed")&gt;0,"Failed",IF(COUNTIFS(Payments_Raw!$B:$B,A106,Payments_Raw!$F:$F,"Pending")&gt;0,"Pending","Unpaid")))))</f>
        <v>Paid</v>
      </c>
      <c r="N106" s="8">
        <f>SUMIFS(Payments_Raw!$E:$E,Payments_Raw!$B:$B,A106,Payments_Raw!$F:$F,"Successful")</f>
        <v>3741.78</v>
      </c>
      <c r="O106" s="26">
        <f t="shared" si="5"/>
        <v>0</v>
      </c>
      <c r="P106" s="9" t="str">
        <f t="shared" si="6"/>
        <v>No Exception</v>
      </c>
      <c r="Q106" s="14" t="str">
        <f t="shared" si="7"/>
        <v>Not Overdue</v>
      </c>
      <c r="R106" s="14"/>
    </row>
    <row r="107" spans="1:18" x14ac:dyDescent="0.25">
      <c r="A107" s="18" t="s">
        <v>356</v>
      </c>
      <c r="B107" s="8" t="s">
        <v>138</v>
      </c>
      <c r="C107" s="8" t="s">
        <v>357</v>
      </c>
      <c r="D107" s="8" t="s">
        <v>358</v>
      </c>
      <c r="E107" s="19">
        <v>46218</v>
      </c>
      <c r="F107" s="19">
        <v>46263</v>
      </c>
      <c r="G107" s="8">
        <v>15538.39</v>
      </c>
      <c r="H107" s="8" t="s">
        <v>15</v>
      </c>
      <c r="I107" s="8" t="s">
        <v>16</v>
      </c>
      <c r="J107" s="8" t="s">
        <v>17</v>
      </c>
      <c r="K107" s="8" t="s">
        <v>63</v>
      </c>
      <c r="L107" t="str">
        <f t="shared" si="4"/>
        <v>Unique</v>
      </c>
      <c r="M107" s="8" t="str">
        <f>IF(COUNTIF(Payments_Raw!$B:$B,A107)=0,"Unpaid",IF(N107&gt;=G107,"Paid",IF(N107&gt;0,"Partial Payment",IF(COUNTIFS(Payments_Raw!$B:$B,A107,Payments_Raw!$F:$F,"Failed")&gt;0,"Failed",IF(COUNTIFS(Payments_Raw!$B:$B,A107,Payments_Raw!$F:$F,"Pending")&gt;0,"Pending","Unpaid")))))</f>
        <v>Paid</v>
      </c>
      <c r="N107" s="8">
        <f>SUMIFS(Payments_Raw!$E:$E,Payments_Raw!$B:$B,A107,Payments_Raw!$F:$F,"Successful")</f>
        <v>15538.39</v>
      </c>
      <c r="O107" s="26">
        <f t="shared" si="5"/>
        <v>0</v>
      </c>
      <c r="P107" s="9" t="str">
        <f t="shared" si="6"/>
        <v>No Exception</v>
      </c>
      <c r="Q107" s="14" t="str">
        <f t="shared" si="7"/>
        <v>Not Overdue</v>
      </c>
      <c r="R107" s="14"/>
    </row>
    <row r="108" spans="1:18" x14ac:dyDescent="0.25">
      <c r="A108" s="18" t="s">
        <v>359</v>
      </c>
      <c r="B108" s="8" t="s">
        <v>49</v>
      </c>
      <c r="C108" s="8" t="s">
        <v>360</v>
      </c>
      <c r="D108" s="8" t="s">
        <v>361</v>
      </c>
      <c r="E108" s="19">
        <v>46027</v>
      </c>
      <c r="F108" s="19">
        <v>46057</v>
      </c>
      <c r="G108" s="8">
        <v>22484.84</v>
      </c>
      <c r="H108" s="8" t="s">
        <v>15</v>
      </c>
      <c r="I108" s="8" t="s">
        <v>16</v>
      </c>
      <c r="J108" s="8" t="s">
        <v>30</v>
      </c>
      <c r="K108" s="8" t="s">
        <v>63</v>
      </c>
      <c r="L108" t="str">
        <f t="shared" si="4"/>
        <v>Unique</v>
      </c>
      <c r="M108" s="8" t="str">
        <f>IF(COUNTIF(Payments_Raw!$B:$B,A108)=0,"Unpaid",IF(N108&gt;=G108,"Paid",IF(N108&gt;0,"Partial Payment",IF(COUNTIFS(Payments_Raw!$B:$B,A108,Payments_Raw!$F:$F,"Failed")&gt;0,"Failed",IF(COUNTIFS(Payments_Raw!$B:$B,A108,Payments_Raw!$F:$F,"Pending")&gt;0,"Pending","Unpaid")))))</f>
        <v>Paid</v>
      </c>
      <c r="N108" s="8">
        <f>SUMIFS(Payments_Raw!$E:$E,Payments_Raw!$B:$B,A108,Payments_Raw!$F:$F,"Successful")</f>
        <v>22484.84</v>
      </c>
      <c r="O108" s="26">
        <f t="shared" si="5"/>
        <v>0</v>
      </c>
      <c r="P108" s="9" t="str">
        <f t="shared" si="6"/>
        <v>No Exception</v>
      </c>
      <c r="Q108" s="14" t="str">
        <f t="shared" si="7"/>
        <v>Not Overdue</v>
      </c>
      <c r="R108" s="14"/>
    </row>
    <row r="109" spans="1:18" x14ac:dyDescent="0.25">
      <c r="A109" s="18" t="s">
        <v>362</v>
      </c>
      <c r="B109" s="8" t="s">
        <v>170</v>
      </c>
      <c r="C109" s="8" t="s">
        <v>363</v>
      </c>
      <c r="D109" s="8" t="s">
        <v>364</v>
      </c>
      <c r="E109" s="19">
        <v>46176</v>
      </c>
      <c r="F109" s="19">
        <v>46206</v>
      </c>
      <c r="G109" s="8">
        <v>16016.79</v>
      </c>
      <c r="H109" s="8" t="s">
        <v>15</v>
      </c>
      <c r="I109" s="8" t="s">
        <v>39</v>
      </c>
      <c r="J109" s="8" t="s">
        <v>17</v>
      </c>
      <c r="K109" s="8" t="s">
        <v>63</v>
      </c>
      <c r="L109" t="str">
        <f t="shared" si="4"/>
        <v>Duplicate</v>
      </c>
      <c r="M109" s="8" t="str">
        <f>IF(COUNTIF(Payments_Raw!$B:$B,A109)=0,"Unpaid",IF(N109&gt;=G109,"Paid",IF(N109&gt;0,"Partial Payment",IF(COUNTIFS(Payments_Raw!$B:$B,A109,Payments_Raw!$F:$F,"Failed")&gt;0,"Failed",IF(COUNTIFS(Payments_Raw!$B:$B,A109,Payments_Raw!$F:$F,"Pending")&gt;0,"Pending","Unpaid")))))</f>
        <v>Paid</v>
      </c>
      <c r="N109" s="8">
        <f>SUMIFS(Payments_Raw!$E:$E,Payments_Raw!$B:$B,A109,Payments_Raw!$F:$F,"Successful")</f>
        <v>16016.79</v>
      </c>
      <c r="O109" s="26">
        <f t="shared" si="5"/>
        <v>0</v>
      </c>
      <c r="P109" s="9" t="str">
        <f t="shared" si="6"/>
        <v>Duplicate Invoice</v>
      </c>
      <c r="Q109" s="14" t="str">
        <f t="shared" si="7"/>
        <v>Not Overdue</v>
      </c>
      <c r="R109" s="14"/>
    </row>
    <row r="110" spans="1:18" x14ac:dyDescent="0.25">
      <c r="A110" s="18" t="s">
        <v>365</v>
      </c>
      <c r="B110" s="8" t="s">
        <v>75</v>
      </c>
      <c r="C110" s="8" t="s">
        <v>366</v>
      </c>
      <c r="D110" s="8" t="s">
        <v>367</v>
      </c>
      <c r="E110" s="19">
        <v>46077</v>
      </c>
      <c r="F110" s="19">
        <v>46092</v>
      </c>
      <c r="G110" s="8">
        <v>6021.68</v>
      </c>
      <c r="H110" s="8" t="s">
        <v>15</v>
      </c>
      <c r="I110" s="8" t="s">
        <v>23</v>
      </c>
      <c r="J110" s="8" t="s">
        <v>17</v>
      </c>
      <c r="K110" s="8" t="s">
        <v>24</v>
      </c>
      <c r="L110" t="str">
        <f t="shared" si="4"/>
        <v>Unique</v>
      </c>
      <c r="M110" s="8" t="str">
        <f>IF(COUNTIF(Payments_Raw!$B:$B,A110)=0,"Unpaid",IF(N110&gt;=G110,"Paid",IF(N110&gt;0,"Partial Payment",IF(COUNTIFS(Payments_Raw!$B:$B,A110,Payments_Raw!$F:$F,"Failed")&gt;0,"Failed",IF(COUNTIFS(Payments_Raw!$B:$B,A110,Payments_Raw!$F:$F,"Pending")&gt;0,"Pending","Unpaid")))))</f>
        <v>Paid</v>
      </c>
      <c r="N110" s="8">
        <f>SUMIFS(Payments_Raw!$E:$E,Payments_Raw!$B:$B,A110,Payments_Raw!$F:$F,"Successful")</f>
        <v>6021.68</v>
      </c>
      <c r="O110" s="26">
        <f t="shared" si="5"/>
        <v>0</v>
      </c>
      <c r="P110" s="9" t="str">
        <f t="shared" si="6"/>
        <v>No Exception</v>
      </c>
      <c r="Q110" s="14" t="str">
        <f t="shared" si="7"/>
        <v>Not Overdue</v>
      </c>
      <c r="R110" s="14"/>
    </row>
    <row r="111" spans="1:18" x14ac:dyDescent="0.25">
      <c r="A111" s="18" t="s">
        <v>368</v>
      </c>
      <c r="B111" s="8" t="s">
        <v>41</v>
      </c>
      <c r="C111" s="8" t="s">
        <v>369</v>
      </c>
      <c r="D111" s="8" t="s">
        <v>370</v>
      </c>
      <c r="E111" s="19">
        <v>46163</v>
      </c>
      <c r="F111" s="19">
        <v>46178</v>
      </c>
      <c r="G111" s="8">
        <v>321.48</v>
      </c>
      <c r="H111" s="8" t="s">
        <v>15</v>
      </c>
      <c r="I111" s="8" t="s">
        <v>39</v>
      </c>
      <c r="J111" s="8" t="s">
        <v>17</v>
      </c>
      <c r="K111" s="8" t="s">
        <v>63</v>
      </c>
      <c r="L111" t="str">
        <f t="shared" si="4"/>
        <v>Unique</v>
      </c>
      <c r="M111" s="8" t="str">
        <f>IF(COUNTIF(Payments_Raw!$B:$B,A111)=0,"Unpaid",IF(N111&gt;=G111,"Paid",IF(N111&gt;0,"Partial Payment",IF(COUNTIFS(Payments_Raw!$B:$B,A111,Payments_Raw!$F:$F,"Failed")&gt;0,"Failed",IF(COUNTIFS(Payments_Raw!$B:$B,A111,Payments_Raw!$F:$F,"Pending")&gt;0,"Pending","Unpaid")))))</f>
        <v>Paid</v>
      </c>
      <c r="N111" s="8">
        <f>SUMIFS(Payments_Raw!$E:$E,Payments_Raw!$B:$B,A111,Payments_Raw!$F:$F,"Successful")</f>
        <v>321.48</v>
      </c>
      <c r="O111" s="26">
        <f t="shared" si="5"/>
        <v>0</v>
      </c>
      <c r="P111" s="9" t="str">
        <f t="shared" si="6"/>
        <v>No Exception</v>
      </c>
      <c r="Q111" s="14" t="str">
        <f t="shared" si="7"/>
        <v>Not Overdue</v>
      </c>
      <c r="R111" s="14"/>
    </row>
    <row r="112" spans="1:18" x14ac:dyDescent="0.25">
      <c r="A112" s="18" t="s">
        <v>371</v>
      </c>
      <c r="B112" s="8" t="s">
        <v>20</v>
      </c>
      <c r="C112" s="8" t="s">
        <v>372</v>
      </c>
      <c r="D112" s="8" t="s">
        <v>373</v>
      </c>
      <c r="E112" s="19">
        <v>46203</v>
      </c>
      <c r="F112" s="19">
        <v>46218</v>
      </c>
      <c r="G112" s="8">
        <v>5568.83</v>
      </c>
      <c r="H112" s="8" t="s">
        <v>15</v>
      </c>
      <c r="I112" s="8" t="s">
        <v>39</v>
      </c>
      <c r="J112" s="8" t="s">
        <v>17</v>
      </c>
      <c r="K112" s="8" t="s">
        <v>24</v>
      </c>
      <c r="L112" t="str">
        <f t="shared" si="4"/>
        <v>Unique</v>
      </c>
      <c r="M112" s="8" t="str">
        <f>IF(COUNTIF(Payments_Raw!$B:$B,A112)=0,"Unpaid",IF(N112&gt;=G112,"Paid",IF(N112&gt;0,"Partial Payment",IF(COUNTIFS(Payments_Raw!$B:$B,A112,Payments_Raw!$F:$F,"Failed")&gt;0,"Failed",IF(COUNTIFS(Payments_Raw!$B:$B,A112,Payments_Raw!$F:$F,"Pending")&gt;0,"Pending","Unpaid")))))</f>
        <v>Paid</v>
      </c>
      <c r="N112" s="8">
        <f>SUMIFS(Payments_Raw!$E:$E,Payments_Raw!$B:$B,A112,Payments_Raw!$F:$F,"Successful")</f>
        <v>5568.83</v>
      </c>
      <c r="O112" s="26">
        <f t="shared" si="5"/>
        <v>0</v>
      </c>
      <c r="P112" s="9" t="str">
        <f t="shared" si="6"/>
        <v>No Exception</v>
      </c>
      <c r="Q112" s="14" t="str">
        <f t="shared" si="7"/>
        <v>Not Overdue</v>
      </c>
      <c r="R112" s="14"/>
    </row>
    <row r="113" spans="1:18" x14ac:dyDescent="0.25">
      <c r="A113" s="18" t="s">
        <v>374</v>
      </c>
      <c r="B113" s="8" t="s">
        <v>122</v>
      </c>
      <c r="C113" s="8" t="s">
        <v>375</v>
      </c>
      <c r="D113" s="8" t="s">
        <v>376</v>
      </c>
      <c r="E113" s="19">
        <v>46072</v>
      </c>
      <c r="F113" s="19">
        <v>46087</v>
      </c>
      <c r="G113" s="8">
        <v>22596.68</v>
      </c>
      <c r="H113" s="8" t="s">
        <v>15</v>
      </c>
      <c r="I113" s="8" t="s">
        <v>16</v>
      </c>
      <c r="J113" s="8" t="s">
        <v>17</v>
      </c>
      <c r="K113" s="8" t="s">
        <v>24</v>
      </c>
      <c r="L113" t="str">
        <f t="shared" si="4"/>
        <v>Unique</v>
      </c>
      <c r="M113" s="8" t="str">
        <f>IF(COUNTIF(Payments_Raw!$B:$B,A113)=0,"Unpaid",IF(N113&gt;=G113,"Paid",IF(N113&gt;0,"Partial Payment",IF(COUNTIFS(Payments_Raw!$B:$B,A113,Payments_Raw!$F:$F,"Failed")&gt;0,"Failed",IF(COUNTIFS(Payments_Raw!$B:$B,A113,Payments_Raw!$F:$F,"Pending")&gt;0,"Pending","Unpaid")))))</f>
        <v>Paid</v>
      </c>
      <c r="N113" s="8">
        <f>SUMIFS(Payments_Raw!$E:$E,Payments_Raw!$B:$B,A113,Payments_Raw!$F:$F,"Successful")</f>
        <v>22596.68</v>
      </c>
      <c r="O113" s="26">
        <f t="shared" si="5"/>
        <v>0</v>
      </c>
      <c r="P113" s="9" t="str">
        <f t="shared" si="6"/>
        <v>No Exception</v>
      </c>
      <c r="Q113" s="14" t="str">
        <f t="shared" si="7"/>
        <v>Not Overdue</v>
      </c>
      <c r="R113" s="14"/>
    </row>
    <row r="114" spans="1:18" x14ac:dyDescent="0.25">
      <c r="A114" s="18" t="s">
        <v>377</v>
      </c>
      <c r="B114" s="8" t="s">
        <v>122</v>
      </c>
      <c r="C114" s="8" t="s">
        <v>378</v>
      </c>
      <c r="D114" s="8" t="s">
        <v>379</v>
      </c>
      <c r="E114" s="19">
        <v>46069</v>
      </c>
      <c r="F114" s="19">
        <v>46084</v>
      </c>
      <c r="G114" s="8">
        <v>22751.54</v>
      </c>
      <c r="H114" s="8" t="s">
        <v>15</v>
      </c>
      <c r="I114" s="8" t="s">
        <v>16</v>
      </c>
      <c r="J114" s="8" t="s">
        <v>17</v>
      </c>
      <c r="K114" s="8" t="s">
        <v>63</v>
      </c>
      <c r="L114" t="str">
        <f t="shared" si="4"/>
        <v>Unique</v>
      </c>
      <c r="M114" s="8" t="str">
        <f>IF(COUNTIF(Payments_Raw!$B:$B,A114)=0,"Unpaid",IF(N114&gt;=G114,"Paid",IF(N114&gt;0,"Partial Payment",IF(COUNTIFS(Payments_Raw!$B:$B,A114,Payments_Raw!$F:$F,"Failed")&gt;0,"Failed",IF(COUNTIFS(Payments_Raw!$B:$B,A114,Payments_Raw!$F:$F,"Pending")&gt;0,"Pending","Unpaid")))))</f>
        <v>Pending</v>
      </c>
      <c r="N114" s="8">
        <f>SUMIFS(Payments_Raw!$E:$E,Payments_Raw!$B:$B,A114,Payments_Raw!$F:$F,"Successful")</f>
        <v>0</v>
      </c>
      <c r="O114" s="26">
        <f t="shared" si="5"/>
        <v>22751.54</v>
      </c>
      <c r="P114" s="9" t="str">
        <f t="shared" si="6"/>
        <v>Pending Payment</v>
      </c>
      <c r="Q114" s="14" t="str">
        <f t="shared" si="7"/>
        <v>Overdue</v>
      </c>
      <c r="R114" s="14"/>
    </row>
    <row r="115" spans="1:18" x14ac:dyDescent="0.25">
      <c r="A115" s="18" t="s">
        <v>380</v>
      </c>
      <c r="B115" s="8" t="s">
        <v>36</v>
      </c>
      <c r="C115" s="8" t="s">
        <v>381</v>
      </c>
      <c r="D115" s="8" t="s">
        <v>382</v>
      </c>
      <c r="E115" s="19">
        <v>46279</v>
      </c>
      <c r="F115" s="19">
        <v>46309</v>
      </c>
      <c r="G115" s="8">
        <v>22847.56</v>
      </c>
      <c r="H115" s="8" t="s">
        <v>15</v>
      </c>
      <c r="I115" s="8" t="s">
        <v>23</v>
      </c>
      <c r="J115" s="8" t="s">
        <v>17</v>
      </c>
      <c r="K115" s="8" t="s">
        <v>63</v>
      </c>
      <c r="L115" t="str">
        <f t="shared" si="4"/>
        <v>Unique</v>
      </c>
      <c r="M115" s="8" t="str">
        <f>IF(COUNTIF(Payments_Raw!$B:$B,A115)=0,"Unpaid",IF(N115&gt;=G115,"Paid",IF(N115&gt;0,"Partial Payment",IF(COUNTIFS(Payments_Raw!$B:$B,A115,Payments_Raw!$F:$F,"Failed")&gt;0,"Failed",IF(COUNTIFS(Payments_Raw!$B:$B,A115,Payments_Raw!$F:$F,"Pending")&gt;0,"Pending","Unpaid")))))</f>
        <v>Paid</v>
      </c>
      <c r="N115" s="8">
        <f>SUMIFS(Payments_Raw!$E:$E,Payments_Raw!$B:$B,A115,Payments_Raw!$F:$F,"Successful")</f>
        <v>22847.56</v>
      </c>
      <c r="O115" s="26">
        <f t="shared" si="5"/>
        <v>0</v>
      </c>
      <c r="P115" s="9" t="str">
        <f t="shared" si="6"/>
        <v>No Exception</v>
      </c>
      <c r="Q115" s="14" t="str">
        <f t="shared" si="7"/>
        <v>Not Overdue</v>
      </c>
      <c r="R115" s="14"/>
    </row>
    <row r="116" spans="1:18" x14ac:dyDescent="0.25">
      <c r="A116" s="18" t="s">
        <v>383</v>
      </c>
      <c r="B116" s="8" t="s">
        <v>26</v>
      </c>
      <c r="C116" s="8" t="s">
        <v>384</v>
      </c>
      <c r="D116" s="8" t="s">
        <v>385</v>
      </c>
      <c r="E116" s="19">
        <v>46081</v>
      </c>
      <c r="F116" s="19">
        <v>46111</v>
      </c>
      <c r="G116" s="8">
        <v>51395.3</v>
      </c>
      <c r="H116" s="8" t="s">
        <v>15</v>
      </c>
      <c r="I116" s="8" t="s">
        <v>39</v>
      </c>
      <c r="J116" s="8" t="s">
        <v>17</v>
      </c>
      <c r="K116" s="8" t="s">
        <v>24</v>
      </c>
      <c r="L116" t="str">
        <f t="shared" si="4"/>
        <v>Unique</v>
      </c>
      <c r="M116" s="8" t="str">
        <f>IF(COUNTIF(Payments_Raw!$B:$B,A116)=0,"Unpaid",IF(N116&gt;=G116,"Paid",IF(N116&gt;0,"Partial Payment",IF(COUNTIFS(Payments_Raw!$B:$B,A116,Payments_Raw!$F:$F,"Failed")&gt;0,"Failed",IF(COUNTIFS(Payments_Raw!$B:$B,A116,Payments_Raw!$F:$F,"Pending")&gt;0,"Pending","Unpaid")))))</f>
        <v>Paid</v>
      </c>
      <c r="N116" s="8">
        <f>SUMIFS(Payments_Raw!$E:$E,Payments_Raw!$B:$B,A116,Payments_Raw!$F:$F,"Successful")</f>
        <v>51395.3</v>
      </c>
      <c r="O116" s="26">
        <f t="shared" si="5"/>
        <v>0</v>
      </c>
      <c r="P116" s="9" t="str">
        <f t="shared" si="6"/>
        <v>No Exception</v>
      </c>
      <c r="Q116" s="14" t="str">
        <f t="shared" si="7"/>
        <v>Not Overdue</v>
      </c>
      <c r="R116" s="14"/>
    </row>
    <row r="117" spans="1:18" x14ac:dyDescent="0.25">
      <c r="A117" s="18" t="s">
        <v>386</v>
      </c>
      <c r="B117" s="8" t="s">
        <v>57</v>
      </c>
      <c r="C117" s="8" t="s">
        <v>387</v>
      </c>
      <c r="D117" s="8" t="s">
        <v>388</v>
      </c>
      <c r="E117" s="19">
        <v>46069</v>
      </c>
      <c r="F117" s="19">
        <v>46114</v>
      </c>
      <c r="G117" s="8">
        <v>43780.03</v>
      </c>
      <c r="H117" s="8" t="s">
        <v>15</v>
      </c>
      <c r="I117" s="8" t="s">
        <v>16</v>
      </c>
      <c r="J117" s="8" t="s">
        <v>17</v>
      </c>
      <c r="K117" s="8" t="s">
        <v>24</v>
      </c>
      <c r="L117" t="str">
        <f t="shared" si="4"/>
        <v>Unique</v>
      </c>
      <c r="M117" s="8" t="str">
        <f>IF(COUNTIF(Payments_Raw!$B:$B,A117)=0,"Unpaid",IF(N117&gt;=G117,"Paid",IF(N117&gt;0,"Partial Payment",IF(COUNTIFS(Payments_Raw!$B:$B,A117,Payments_Raw!$F:$F,"Failed")&gt;0,"Failed",IF(COUNTIFS(Payments_Raw!$B:$B,A117,Payments_Raw!$F:$F,"Pending")&gt;0,"Pending","Unpaid")))))</f>
        <v>Paid</v>
      </c>
      <c r="N117" s="8">
        <f>SUMIFS(Payments_Raw!$E:$E,Payments_Raw!$B:$B,A117,Payments_Raw!$F:$F,"Successful")</f>
        <v>43780.03</v>
      </c>
      <c r="O117" s="26">
        <f t="shared" si="5"/>
        <v>0</v>
      </c>
      <c r="P117" s="9" t="str">
        <f t="shared" si="6"/>
        <v>No Exception</v>
      </c>
      <c r="Q117" s="14" t="str">
        <f t="shared" si="7"/>
        <v>Not Overdue</v>
      </c>
      <c r="R117" s="14"/>
    </row>
    <row r="118" spans="1:18" x14ac:dyDescent="0.25">
      <c r="A118" s="18" t="s">
        <v>389</v>
      </c>
      <c r="B118" s="8" t="s">
        <v>41</v>
      </c>
      <c r="C118" s="8" t="s">
        <v>390</v>
      </c>
      <c r="D118" s="8" t="s">
        <v>391</v>
      </c>
      <c r="E118" s="19">
        <v>46213</v>
      </c>
      <c r="F118" s="19">
        <v>46228</v>
      </c>
      <c r="G118" s="8">
        <v>2815.65</v>
      </c>
      <c r="H118" s="8" t="s">
        <v>15</v>
      </c>
      <c r="I118" s="8" t="s">
        <v>23</v>
      </c>
      <c r="J118" s="8" t="s">
        <v>17</v>
      </c>
      <c r="K118" s="8" t="s">
        <v>24</v>
      </c>
      <c r="L118" t="str">
        <f t="shared" si="4"/>
        <v>Unique</v>
      </c>
      <c r="M118" s="8" t="str">
        <f>IF(COUNTIF(Payments_Raw!$B:$B,A118)=0,"Unpaid",IF(N118&gt;=G118,"Paid",IF(N118&gt;0,"Partial Payment",IF(COUNTIFS(Payments_Raw!$B:$B,A118,Payments_Raw!$F:$F,"Failed")&gt;0,"Failed",IF(COUNTIFS(Payments_Raw!$B:$B,A118,Payments_Raw!$F:$F,"Pending")&gt;0,"Pending","Unpaid")))))</f>
        <v>Paid</v>
      </c>
      <c r="N118" s="8">
        <f>SUMIFS(Payments_Raw!$E:$E,Payments_Raw!$B:$B,A118,Payments_Raw!$F:$F,"Successful")</f>
        <v>2815.65</v>
      </c>
      <c r="O118" s="26">
        <f t="shared" si="5"/>
        <v>0</v>
      </c>
      <c r="P118" s="9" t="str">
        <f t="shared" si="6"/>
        <v>No Exception</v>
      </c>
      <c r="Q118" s="14" t="str">
        <f t="shared" si="7"/>
        <v>Not Overdue</v>
      </c>
      <c r="R118" s="14"/>
    </row>
    <row r="119" spans="1:18" x14ac:dyDescent="0.25">
      <c r="A119" s="18" t="s">
        <v>392</v>
      </c>
      <c r="B119" s="8" t="s">
        <v>20</v>
      </c>
      <c r="C119" s="8" t="s">
        <v>393</v>
      </c>
      <c r="D119" s="8" t="s">
        <v>394</v>
      </c>
      <c r="E119" s="19">
        <v>46055</v>
      </c>
      <c r="F119" s="19">
        <v>46070</v>
      </c>
      <c r="G119" s="8">
        <v>15928.85</v>
      </c>
      <c r="H119" s="8" t="s">
        <v>15</v>
      </c>
      <c r="I119" s="8" t="s">
        <v>16</v>
      </c>
      <c r="J119" s="8" t="s">
        <v>30</v>
      </c>
      <c r="K119" s="8" t="s">
        <v>18</v>
      </c>
      <c r="L119" t="str">
        <f t="shared" si="4"/>
        <v>Duplicate</v>
      </c>
      <c r="M119" s="8" t="str">
        <f>IF(COUNTIF(Payments_Raw!$B:$B,A119)=0,"Unpaid",IF(N119&gt;=G119,"Paid",IF(N119&gt;0,"Partial Payment",IF(COUNTIFS(Payments_Raw!$B:$B,A119,Payments_Raw!$F:$F,"Failed")&gt;0,"Failed",IF(COUNTIFS(Payments_Raw!$B:$B,A119,Payments_Raw!$F:$F,"Pending")&gt;0,"Pending","Unpaid")))))</f>
        <v>Unpaid</v>
      </c>
      <c r="N119" s="8">
        <f>SUMIFS(Payments_Raw!$E:$E,Payments_Raw!$B:$B,A119,Payments_Raw!$F:$F,"Successful")</f>
        <v>0</v>
      </c>
      <c r="O119" s="26">
        <f t="shared" si="5"/>
        <v>15928.85</v>
      </c>
      <c r="P119" s="9" t="str">
        <f t="shared" si="6"/>
        <v>Duplicate Invoice</v>
      </c>
      <c r="Q119" s="14" t="str">
        <f t="shared" si="7"/>
        <v>Overdue</v>
      </c>
      <c r="R119" s="14"/>
    </row>
    <row r="120" spans="1:18" x14ac:dyDescent="0.25">
      <c r="A120" s="18" t="s">
        <v>395</v>
      </c>
      <c r="B120" s="8" t="s">
        <v>163</v>
      </c>
      <c r="C120" s="8" t="s">
        <v>396</v>
      </c>
      <c r="D120" s="8" t="s">
        <v>397</v>
      </c>
      <c r="E120" s="19">
        <v>46275</v>
      </c>
      <c r="F120" s="19">
        <v>46290</v>
      </c>
      <c r="G120" s="8">
        <v>3009.08</v>
      </c>
      <c r="H120" s="8" t="s">
        <v>15</v>
      </c>
      <c r="I120" s="8" t="s">
        <v>16</v>
      </c>
      <c r="J120" s="8" t="s">
        <v>17</v>
      </c>
      <c r="K120" s="8" t="s">
        <v>24</v>
      </c>
      <c r="L120" t="str">
        <f t="shared" si="4"/>
        <v>Unique</v>
      </c>
      <c r="M120" s="8" t="str">
        <f>IF(COUNTIF(Payments_Raw!$B:$B,A120)=0,"Unpaid",IF(N120&gt;=G120,"Paid",IF(N120&gt;0,"Partial Payment",IF(COUNTIFS(Payments_Raw!$B:$B,A120,Payments_Raw!$F:$F,"Failed")&gt;0,"Failed",IF(COUNTIFS(Payments_Raw!$B:$B,A120,Payments_Raw!$F:$F,"Pending")&gt;0,"Pending","Unpaid")))))</f>
        <v>Paid</v>
      </c>
      <c r="N120" s="8">
        <f>SUMIFS(Payments_Raw!$E:$E,Payments_Raw!$B:$B,A120,Payments_Raw!$F:$F,"Successful")</f>
        <v>3009.08</v>
      </c>
      <c r="O120" s="26">
        <f t="shared" si="5"/>
        <v>0</v>
      </c>
      <c r="P120" s="9" t="str">
        <f t="shared" si="6"/>
        <v>No Exception</v>
      </c>
      <c r="Q120" s="14" t="str">
        <f t="shared" si="7"/>
        <v>Not Overdue</v>
      </c>
      <c r="R120" s="14"/>
    </row>
    <row r="121" spans="1:18" x14ac:dyDescent="0.25">
      <c r="A121" s="18" t="s">
        <v>398</v>
      </c>
      <c r="B121" s="8" t="s">
        <v>32</v>
      </c>
      <c r="C121" s="8" t="s">
        <v>399</v>
      </c>
      <c r="D121" s="8" t="s">
        <v>400</v>
      </c>
      <c r="E121" s="19">
        <v>46237</v>
      </c>
      <c r="F121" s="19">
        <v>46267</v>
      </c>
      <c r="G121" s="8">
        <v>14733.03</v>
      </c>
      <c r="H121" s="8" t="s">
        <v>15</v>
      </c>
      <c r="I121" s="8" t="s">
        <v>29</v>
      </c>
      <c r="J121" s="8" t="s">
        <v>17</v>
      </c>
      <c r="K121" s="8" t="s">
        <v>63</v>
      </c>
      <c r="L121" t="str">
        <f t="shared" si="4"/>
        <v>Unique</v>
      </c>
      <c r="M121" s="8" t="str">
        <f>IF(COUNTIF(Payments_Raw!$B:$B,A121)=0,"Unpaid",IF(N121&gt;=G121,"Paid",IF(N121&gt;0,"Partial Payment",IF(COUNTIFS(Payments_Raw!$B:$B,A121,Payments_Raw!$F:$F,"Failed")&gt;0,"Failed",IF(COUNTIFS(Payments_Raw!$B:$B,A121,Payments_Raw!$F:$F,"Pending")&gt;0,"Pending","Unpaid")))))</f>
        <v>Unpaid</v>
      </c>
      <c r="N121" s="8">
        <f>SUMIFS(Payments_Raw!$E:$E,Payments_Raw!$B:$B,A121,Payments_Raw!$F:$F,"Successful")</f>
        <v>0</v>
      </c>
      <c r="O121" s="26">
        <f t="shared" si="5"/>
        <v>14733.03</v>
      </c>
      <c r="P121" s="9" t="str">
        <f t="shared" si="6"/>
        <v>Unpaid Invoice</v>
      </c>
      <c r="Q121" s="14" t="str">
        <f t="shared" si="7"/>
        <v>Overdue</v>
      </c>
      <c r="R121" s="14"/>
    </row>
    <row r="122" spans="1:18" x14ac:dyDescent="0.25">
      <c r="A122" s="18" t="s">
        <v>401</v>
      </c>
      <c r="B122" s="8" t="s">
        <v>49</v>
      </c>
      <c r="C122" s="8" t="s">
        <v>402</v>
      </c>
      <c r="D122" s="8" t="s">
        <v>403</v>
      </c>
      <c r="E122" s="19">
        <v>46039</v>
      </c>
      <c r="F122" s="19">
        <v>46069</v>
      </c>
      <c r="G122" s="8">
        <v>17294.18</v>
      </c>
      <c r="H122" s="8" t="s">
        <v>15</v>
      </c>
      <c r="I122" s="8" t="s">
        <v>23</v>
      </c>
      <c r="J122" s="8" t="s">
        <v>30</v>
      </c>
      <c r="K122" s="8" t="s">
        <v>24</v>
      </c>
      <c r="L122" t="str">
        <f t="shared" si="4"/>
        <v>Unique</v>
      </c>
      <c r="M122" s="8" t="str">
        <f>IF(COUNTIF(Payments_Raw!$B:$B,A122)=0,"Unpaid",IF(N122&gt;=G122,"Paid",IF(N122&gt;0,"Partial Payment",IF(COUNTIFS(Payments_Raw!$B:$B,A122,Payments_Raw!$F:$F,"Failed")&gt;0,"Failed",IF(COUNTIFS(Payments_Raw!$B:$B,A122,Payments_Raw!$F:$F,"Pending")&gt;0,"Pending","Unpaid")))))</f>
        <v>Paid</v>
      </c>
      <c r="N122" s="8">
        <f>SUMIFS(Payments_Raw!$E:$E,Payments_Raw!$B:$B,A122,Payments_Raw!$F:$F,"Successful")</f>
        <v>17294.18</v>
      </c>
      <c r="O122" s="26">
        <f t="shared" si="5"/>
        <v>0</v>
      </c>
      <c r="P122" s="9" t="str">
        <f t="shared" si="6"/>
        <v>No Exception</v>
      </c>
      <c r="Q122" s="14" t="str">
        <f t="shared" si="7"/>
        <v>Not Overdue</v>
      </c>
      <c r="R122" s="14"/>
    </row>
    <row r="123" spans="1:18" x14ac:dyDescent="0.25">
      <c r="A123" s="18" t="s">
        <v>404</v>
      </c>
      <c r="B123" s="8" t="s">
        <v>57</v>
      </c>
      <c r="C123" s="8" t="s">
        <v>405</v>
      </c>
      <c r="D123" s="8" t="s">
        <v>406</v>
      </c>
      <c r="E123" s="19">
        <v>46301</v>
      </c>
      <c r="F123" s="19">
        <v>46346</v>
      </c>
      <c r="G123" s="8">
        <v>22554.2</v>
      </c>
      <c r="H123" s="8" t="s">
        <v>15</v>
      </c>
      <c r="I123" s="8" t="s">
        <v>16</v>
      </c>
      <c r="J123" s="8" t="s">
        <v>17</v>
      </c>
      <c r="K123" s="8" t="s">
        <v>63</v>
      </c>
      <c r="L123" t="str">
        <f t="shared" si="4"/>
        <v>Unique</v>
      </c>
      <c r="M123" s="8" t="str">
        <f>IF(COUNTIF(Payments_Raw!$B:$B,A123)=0,"Unpaid",IF(N123&gt;=G123,"Paid",IF(N123&gt;0,"Partial Payment",IF(COUNTIFS(Payments_Raw!$B:$B,A123,Payments_Raw!$F:$F,"Failed")&gt;0,"Failed",IF(COUNTIFS(Payments_Raw!$B:$B,A123,Payments_Raw!$F:$F,"Pending")&gt;0,"Pending","Unpaid")))))</f>
        <v>Failed</v>
      </c>
      <c r="N123" s="8">
        <f>SUMIFS(Payments_Raw!$E:$E,Payments_Raw!$B:$B,A123,Payments_Raw!$F:$F,"Successful")</f>
        <v>0</v>
      </c>
      <c r="O123" s="26">
        <f t="shared" si="5"/>
        <v>22554.2</v>
      </c>
      <c r="P123" s="9" t="str">
        <f t="shared" si="6"/>
        <v>Failed Payment</v>
      </c>
      <c r="Q123" s="14" t="str">
        <f t="shared" si="7"/>
        <v>Overdue</v>
      </c>
      <c r="R123" s="14"/>
    </row>
    <row r="124" spans="1:18" x14ac:dyDescent="0.25">
      <c r="A124" s="18" t="s">
        <v>407</v>
      </c>
      <c r="B124" s="8" t="s">
        <v>102</v>
      </c>
      <c r="C124" s="8" t="s">
        <v>408</v>
      </c>
      <c r="D124" s="8" t="s">
        <v>409</v>
      </c>
      <c r="E124" s="19">
        <v>46131</v>
      </c>
      <c r="F124" s="19">
        <v>46176</v>
      </c>
      <c r="G124" s="8">
        <v>16085.61</v>
      </c>
      <c r="H124" s="8" t="s">
        <v>15</v>
      </c>
      <c r="I124" s="8" t="s">
        <v>39</v>
      </c>
      <c r="J124" s="8" t="s">
        <v>17</v>
      </c>
      <c r="K124" s="8" t="s">
        <v>18</v>
      </c>
      <c r="L124" t="str">
        <f t="shared" si="4"/>
        <v>Unique</v>
      </c>
      <c r="M124" s="8" t="str">
        <f>IF(COUNTIF(Payments_Raw!$B:$B,A124)=0,"Unpaid",IF(N124&gt;=G124,"Paid",IF(N124&gt;0,"Partial Payment",IF(COUNTIFS(Payments_Raw!$B:$B,A124,Payments_Raw!$F:$F,"Failed")&gt;0,"Failed",IF(COUNTIFS(Payments_Raw!$B:$B,A124,Payments_Raw!$F:$F,"Pending")&gt;0,"Pending","Unpaid")))))</f>
        <v>Paid</v>
      </c>
      <c r="N124" s="8">
        <f>SUMIFS(Payments_Raw!$E:$E,Payments_Raw!$B:$B,A124,Payments_Raw!$F:$F,"Successful")</f>
        <v>16085.61</v>
      </c>
      <c r="O124" s="26">
        <f t="shared" si="5"/>
        <v>0</v>
      </c>
      <c r="P124" s="9" t="str">
        <f t="shared" si="6"/>
        <v>No Exception</v>
      </c>
      <c r="Q124" s="14" t="str">
        <f t="shared" si="7"/>
        <v>Not Overdue</v>
      </c>
      <c r="R124" s="14"/>
    </row>
    <row r="125" spans="1:18" x14ac:dyDescent="0.25">
      <c r="A125" s="18" t="s">
        <v>410</v>
      </c>
      <c r="B125" s="8" t="s">
        <v>170</v>
      </c>
      <c r="C125" s="8" t="s">
        <v>411</v>
      </c>
      <c r="D125" s="8" t="s">
        <v>412</v>
      </c>
      <c r="E125" s="19">
        <v>46128</v>
      </c>
      <c r="F125" s="19">
        <v>46158</v>
      </c>
      <c r="G125" s="8">
        <v>1827.02</v>
      </c>
      <c r="H125" s="8" t="s">
        <v>15</v>
      </c>
      <c r="I125" s="8" t="s">
        <v>16</v>
      </c>
      <c r="J125" s="8" t="s">
        <v>17</v>
      </c>
      <c r="K125" s="8" t="s">
        <v>63</v>
      </c>
      <c r="L125" t="str">
        <f t="shared" si="4"/>
        <v>Unique</v>
      </c>
      <c r="M125" s="8" t="str">
        <f>IF(COUNTIF(Payments_Raw!$B:$B,A125)=0,"Unpaid",IF(N125&gt;=G125,"Paid",IF(N125&gt;0,"Partial Payment",IF(COUNTIFS(Payments_Raw!$B:$B,A125,Payments_Raw!$F:$F,"Failed")&gt;0,"Failed",IF(COUNTIFS(Payments_Raw!$B:$B,A125,Payments_Raw!$F:$F,"Pending")&gt;0,"Pending","Unpaid")))))</f>
        <v>Pending</v>
      </c>
      <c r="N125" s="8">
        <f>SUMIFS(Payments_Raw!$E:$E,Payments_Raw!$B:$B,A125,Payments_Raw!$F:$F,"Successful")</f>
        <v>0</v>
      </c>
      <c r="O125" s="26">
        <f t="shared" si="5"/>
        <v>1827.02</v>
      </c>
      <c r="P125" s="9" t="str">
        <f t="shared" si="6"/>
        <v>Pending Payment</v>
      </c>
      <c r="Q125" s="14" t="str">
        <f t="shared" si="7"/>
        <v>Overdue</v>
      </c>
      <c r="R125" s="14"/>
    </row>
    <row r="126" spans="1:18" x14ac:dyDescent="0.25">
      <c r="A126" s="18" t="s">
        <v>413</v>
      </c>
      <c r="B126" s="8" t="s">
        <v>122</v>
      </c>
      <c r="C126" s="8" t="s">
        <v>414</v>
      </c>
      <c r="D126" s="8" t="s">
        <v>415</v>
      </c>
      <c r="E126" s="19">
        <v>46024</v>
      </c>
      <c r="F126" s="19">
        <v>46039</v>
      </c>
      <c r="G126" s="8">
        <v>7018.6</v>
      </c>
      <c r="H126" s="8" t="s">
        <v>15</v>
      </c>
      <c r="I126" s="8" t="s">
        <v>16</v>
      </c>
      <c r="J126" s="8" t="s">
        <v>17</v>
      </c>
      <c r="K126" s="8" t="s">
        <v>24</v>
      </c>
      <c r="L126" t="str">
        <f t="shared" si="4"/>
        <v>Duplicate</v>
      </c>
      <c r="M126" s="8" t="str">
        <f>IF(COUNTIF(Payments_Raw!$B:$B,A126)=0,"Unpaid",IF(N126&gt;=G126,"Paid",IF(N126&gt;0,"Partial Payment",IF(COUNTIFS(Payments_Raw!$B:$B,A126,Payments_Raw!$F:$F,"Failed")&gt;0,"Failed",IF(COUNTIFS(Payments_Raw!$B:$B,A126,Payments_Raw!$F:$F,"Pending")&gt;0,"Pending","Unpaid")))))</f>
        <v>Failed</v>
      </c>
      <c r="N126" s="8">
        <f>SUMIFS(Payments_Raw!$E:$E,Payments_Raw!$B:$B,A126,Payments_Raw!$F:$F,"Successful")</f>
        <v>0</v>
      </c>
      <c r="O126" s="26">
        <f t="shared" si="5"/>
        <v>7018.6</v>
      </c>
      <c r="P126" s="9" t="str">
        <f t="shared" si="6"/>
        <v>Duplicate Invoice</v>
      </c>
      <c r="Q126" s="14" t="str">
        <f t="shared" si="7"/>
        <v>Overdue</v>
      </c>
      <c r="R126" s="14"/>
    </row>
    <row r="127" spans="1:18" x14ac:dyDescent="0.25">
      <c r="A127" s="18" t="s">
        <v>416</v>
      </c>
      <c r="B127" s="8" t="s">
        <v>71</v>
      </c>
      <c r="C127" s="8" t="s">
        <v>417</v>
      </c>
      <c r="D127" s="8" t="s">
        <v>418</v>
      </c>
      <c r="E127" s="19">
        <v>46090</v>
      </c>
      <c r="F127" s="19">
        <v>46105</v>
      </c>
      <c r="G127" s="8">
        <v>489.72</v>
      </c>
      <c r="H127" s="8" t="s">
        <v>15</v>
      </c>
      <c r="I127" s="8" t="s">
        <v>16</v>
      </c>
      <c r="J127" s="8" t="s">
        <v>17</v>
      </c>
      <c r="K127" s="8" t="s">
        <v>18</v>
      </c>
      <c r="L127" t="str">
        <f t="shared" si="4"/>
        <v>Unique</v>
      </c>
      <c r="M127" s="8" t="str">
        <f>IF(COUNTIF(Payments_Raw!$B:$B,A127)=0,"Unpaid",IF(N127&gt;=G127,"Paid",IF(N127&gt;0,"Partial Payment",IF(COUNTIFS(Payments_Raw!$B:$B,A127,Payments_Raw!$F:$F,"Failed")&gt;0,"Failed",IF(COUNTIFS(Payments_Raw!$B:$B,A127,Payments_Raw!$F:$F,"Pending")&gt;0,"Pending","Unpaid")))))</f>
        <v>Paid</v>
      </c>
      <c r="N127" s="8">
        <f>SUMIFS(Payments_Raw!$E:$E,Payments_Raw!$B:$B,A127,Payments_Raw!$F:$F,"Successful")</f>
        <v>489.72</v>
      </c>
      <c r="O127" s="26">
        <f t="shared" si="5"/>
        <v>0</v>
      </c>
      <c r="P127" s="9" t="str">
        <f t="shared" si="6"/>
        <v>No Exception</v>
      </c>
      <c r="Q127" s="14" t="str">
        <f t="shared" si="7"/>
        <v>Not Overdue</v>
      </c>
      <c r="R127" s="14"/>
    </row>
    <row r="128" spans="1:18" x14ac:dyDescent="0.25">
      <c r="A128" s="18" t="s">
        <v>419</v>
      </c>
      <c r="B128" s="8" t="s">
        <v>122</v>
      </c>
      <c r="C128" s="8" t="s">
        <v>420</v>
      </c>
      <c r="D128" s="8" t="s">
        <v>421</v>
      </c>
      <c r="E128" s="19">
        <v>46238</v>
      </c>
      <c r="F128" s="19">
        <v>46253</v>
      </c>
      <c r="G128" s="8">
        <v>13209.01</v>
      </c>
      <c r="H128" s="8" t="s">
        <v>15</v>
      </c>
      <c r="I128" s="8" t="s">
        <v>39</v>
      </c>
      <c r="J128" s="8" t="s">
        <v>17</v>
      </c>
      <c r="K128" s="8" t="s">
        <v>18</v>
      </c>
      <c r="L128" t="str">
        <f t="shared" si="4"/>
        <v>Unique</v>
      </c>
      <c r="M128" s="8" t="str">
        <f>IF(COUNTIF(Payments_Raw!$B:$B,A128)=0,"Unpaid",IF(N128&gt;=G128,"Paid",IF(N128&gt;0,"Partial Payment",IF(COUNTIFS(Payments_Raw!$B:$B,A128,Payments_Raw!$F:$F,"Failed")&gt;0,"Failed",IF(COUNTIFS(Payments_Raw!$B:$B,A128,Payments_Raw!$F:$F,"Pending")&gt;0,"Pending","Unpaid")))))</f>
        <v>Paid</v>
      </c>
      <c r="N128" s="8">
        <f>SUMIFS(Payments_Raw!$E:$E,Payments_Raw!$B:$B,A128,Payments_Raw!$F:$F,"Successful")</f>
        <v>13209.01</v>
      </c>
      <c r="O128" s="26">
        <f t="shared" si="5"/>
        <v>0</v>
      </c>
      <c r="P128" s="9" t="str">
        <f t="shared" si="6"/>
        <v>No Exception</v>
      </c>
      <c r="Q128" s="14" t="str">
        <f t="shared" si="7"/>
        <v>Not Overdue</v>
      </c>
      <c r="R128" s="14"/>
    </row>
    <row r="129" spans="1:18" x14ac:dyDescent="0.25">
      <c r="A129" s="18" t="s">
        <v>422</v>
      </c>
      <c r="B129" s="8" t="s">
        <v>112</v>
      </c>
      <c r="C129" s="8" t="s">
        <v>423</v>
      </c>
      <c r="D129" s="8" t="s">
        <v>424</v>
      </c>
      <c r="E129" s="19">
        <v>46280</v>
      </c>
      <c r="F129" s="19">
        <v>46295</v>
      </c>
      <c r="G129" s="8">
        <v>5632.16</v>
      </c>
      <c r="H129" s="8" t="s">
        <v>15</v>
      </c>
      <c r="I129" s="8" t="s">
        <v>16</v>
      </c>
      <c r="J129" s="8" t="s">
        <v>17</v>
      </c>
      <c r="K129" s="8" t="s">
        <v>18</v>
      </c>
      <c r="L129" t="str">
        <f t="shared" si="4"/>
        <v>Unique</v>
      </c>
      <c r="M129" s="8" t="str">
        <f>IF(COUNTIF(Payments_Raw!$B:$B,A129)=0,"Unpaid",IF(N129&gt;=G129,"Paid",IF(N129&gt;0,"Partial Payment",IF(COUNTIFS(Payments_Raw!$B:$B,A129,Payments_Raw!$F:$F,"Failed")&gt;0,"Failed",IF(COUNTIFS(Payments_Raw!$B:$B,A129,Payments_Raw!$F:$F,"Pending")&gt;0,"Pending","Unpaid")))))</f>
        <v>Paid</v>
      </c>
      <c r="N129" s="8">
        <f>SUMIFS(Payments_Raw!$E:$E,Payments_Raw!$B:$B,A129,Payments_Raw!$F:$F,"Successful")</f>
        <v>5632.16</v>
      </c>
      <c r="O129" s="26">
        <f t="shared" si="5"/>
        <v>0</v>
      </c>
      <c r="P129" s="9" t="str">
        <f t="shared" si="6"/>
        <v>No Exception</v>
      </c>
      <c r="Q129" s="14" t="str">
        <f t="shared" si="7"/>
        <v>Not Overdue</v>
      </c>
      <c r="R129" s="14"/>
    </row>
    <row r="130" spans="1:18" x14ac:dyDescent="0.25">
      <c r="A130" s="18" t="s">
        <v>425</v>
      </c>
      <c r="B130" s="8" t="s">
        <v>89</v>
      </c>
      <c r="C130" s="8" t="s">
        <v>426</v>
      </c>
      <c r="D130" s="8" t="s">
        <v>427</v>
      </c>
      <c r="E130" s="19">
        <v>46268</v>
      </c>
      <c r="F130" s="19">
        <v>46283</v>
      </c>
      <c r="G130" s="8">
        <v>21200.79</v>
      </c>
      <c r="H130" s="8" t="s">
        <v>15</v>
      </c>
      <c r="I130" s="8" t="s">
        <v>39</v>
      </c>
      <c r="J130" s="8" t="s">
        <v>17</v>
      </c>
      <c r="K130" s="8" t="s">
        <v>18</v>
      </c>
      <c r="L130" t="str">
        <f t="shared" si="4"/>
        <v>Unique</v>
      </c>
      <c r="M130" s="8" t="str">
        <f>IF(COUNTIF(Payments_Raw!$B:$B,A130)=0,"Unpaid",IF(N130&gt;=G130,"Paid",IF(N130&gt;0,"Partial Payment",IF(COUNTIFS(Payments_Raw!$B:$B,A130,Payments_Raw!$F:$F,"Failed")&gt;0,"Failed",IF(COUNTIFS(Payments_Raw!$B:$B,A130,Payments_Raw!$F:$F,"Pending")&gt;0,"Pending","Unpaid")))))</f>
        <v>Paid</v>
      </c>
      <c r="N130" s="8">
        <f>SUMIFS(Payments_Raw!$E:$E,Payments_Raw!$B:$B,A130,Payments_Raw!$F:$F,"Successful")</f>
        <v>21200.79</v>
      </c>
      <c r="O130" s="26">
        <f t="shared" si="5"/>
        <v>0</v>
      </c>
      <c r="P130" s="9" t="str">
        <f t="shared" si="6"/>
        <v>No Exception</v>
      </c>
      <c r="Q130" s="14" t="str">
        <f t="shared" si="7"/>
        <v>Not Overdue</v>
      </c>
      <c r="R130" s="14"/>
    </row>
    <row r="131" spans="1:18" x14ac:dyDescent="0.25">
      <c r="A131" s="18" t="s">
        <v>428</v>
      </c>
      <c r="B131" s="8" t="s">
        <v>26</v>
      </c>
      <c r="C131" s="8" t="s">
        <v>429</v>
      </c>
      <c r="D131" s="8" t="s">
        <v>430</v>
      </c>
      <c r="E131" s="19">
        <v>46098</v>
      </c>
      <c r="F131" s="19">
        <v>46128</v>
      </c>
      <c r="G131" s="8">
        <v>1754.17</v>
      </c>
      <c r="H131" s="8" t="s">
        <v>15</v>
      </c>
      <c r="I131" s="8" t="s">
        <v>16</v>
      </c>
      <c r="J131" s="8" t="s">
        <v>17</v>
      </c>
      <c r="K131" s="8" t="s">
        <v>24</v>
      </c>
      <c r="L131" t="str">
        <f t="shared" ref="L131:L194" si="8">IF(COUNTIFS($B:$B,B131,$C:$C,C131)&gt;1,"Duplicate","Unique")</f>
        <v>Unique</v>
      </c>
      <c r="M131" s="8" t="str">
        <f>IF(COUNTIF(Payments_Raw!$B:$B,A131)=0,"Unpaid",IF(N131&gt;=G131,"Paid",IF(N131&gt;0,"Partial Payment",IF(COUNTIFS(Payments_Raw!$B:$B,A131,Payments_Raw!$F:$F,"Failed")&gt;0,"Failed",IF(COUNTIFS(Payments_Raw!$B:$B,A131,Payments_Raw!$F:$F,"Pending")&gt;0,"Pending","Unpaid")))))</f>
        <v>Paid</v>
      </c>
      <c r="N131" s="8">
        <f>SUMIFS(Payments_Raw!$E:$E,Payments_Raw!$B:$B,A131,Payments_Raw!$F:$F,"Successful")</f>
        <v>1754.17</v>
      </c>
      <c r="O131" s="26">
        <f t="shared" ref="O131:O194" si="9">G131-N131</f>
        <v>0</v>
      </c>
      <c r="P131" s="9" t="str">
        <f t="shared" ref="P131:P194" si="10">IF(L131="Duplicate","Duplicate Invoice",IF(M131="Failed","Failed Payment",IF(M131="Pending","Pending Payment",IF(M131="Unpaid","Unpaid Invoice",IF(M131="Partial Payment","Amount Mismatch","No Exception")))))</f>
        <v>No Exception</v>
      </c>
      <c r="Q131" s="14" t="str">
        <f t="shared" ref="Q131:Q194" si="11">IF(AND(G131&lt;DATE(2026,10,14),M131&lt;&gt;"Paid"),"Overdue","Not Overdue")</f>
        <v>Not Overdue</v>
      </c>
      <c r="R131" s="14"/>
    </row>
    <row r="132" spans="1:18" x14ac:dyDescent="0.25">
      <c r="A132" s="18" t="s">
        <v>431</v>
      </c>
      <c r="B132" s="8" t="s">
        <v>36</v>
      </c>
      <c r="C132" s="8" t="s">
        <v>432</v>
      </c>
      <c r="D132" s="8" t="s">
        <v>433</v>
      </c>
      <c r="E132" s="19">
        <v>46173</v>
      </c>
      <c r="F132" s="19">
        <v>46203</v>
      </c>
      <c r="G132" s="8">
        <v>11408.44</v>
      </c>
      <c r="H132" s="8" t="s">
        <v>15</v>
      </c>
      <c r="I132" s="8" t="s">
        <v>39</v>
      </c>
      <c r="J132" s="8" t="s">
        <v>17</v>
      </c>
      <c r="K132" s="8" t="s">
        <v>24</v>
      </c>
      <c r="L132" t="str">
        <f t="shared" si="8"/>
        <v>Unique</v>
      </c>
      <c r="M132" s="8" t="str">
        <f>IF(COUNTIF(Payments_Raw!$B:$B,A132)=0,"Unpaid",IF(N132&gt;=G132,"Paid",IF(N132&gt;0,"Partial Payment",IF(COUNTIFS(Payments_Raw!$B:$B,A132,Payments_Raw!$F:$F,"Failed")&gt;0,"Failed",IF(COUNTIFS(Payments_Raw!$B:$B,A132,Payments_Raw!$F:$F,"Pending")&gt;0,"Pending","Unpaid")))))</f>
        <v>Unpaid</v>
      </c>
      <c r="N132" s="8">
        <f>SUMIFS(Payments_Raw!$E:$E,Payments_Raw!$B:$B,A132,Payments_Raw!$F:$F,"Successful")</f>
        <v>0</v>
      </c>
      <c r="O132" s="26">
        <f t="shared" si="9"/>
        <v>11408.44</v>
      </c>
      <c r="P132" s="9" t="str">
        <f t="shared" si="10"/>
        <v>Unpaid Invoice</v>
      </c>
      <c r="Q132" s="14" t="str">
        <f t="shared" si="11"/>
        <v>Overdue</v>
      </c>
      <c r="R132" s="14"/>
    </row>
    <row r="133" spans="1:18" x14ac:dyDescent="0.25">
      <c r="A133" s="18" t="s">
        <v>434</v>
      </c>
      <c r="B133" s="8" t="s">
        <v>32</v>
      </c>
      <c r="C133" s="8" t="s">
        <v>435</v>
      </c>
      <c r="D133" s="8" t="s">
        <v>436</v>
      </c>
      <c r="E133" s="19">
        <v>46133</v>
      </c>
      <c r="F133" s="19">
        <v>46163</v>
      </c>
      <c r="G133" s="8">
        <v>10820.14</v>
      </c>
      <c r="H133" s="8" t="s">
        <v>15</v>
      </c>
      <c r="I133" s="8" t="s">
        <v>39</v>
      </c>
      <c r="J133" s="8" t="s">
        <v>17</v>
      </c>
      <c r="K133" s="8" t="s">
        <v>24</v>
      </c>
      <c r="L133" t="str">
        <f t="shared" si="8"/>
        <v>Unique</v>
      </c>
      <c r="M133" s="8" t="str">
        <f>IF(COUNTIF(Payments_Raw!$B:$B,A133)=0,"Unpaid",IF(N133&gt;=G133,"Paid",IF(N133&gt;0,"Partial Payment",IF(COUNTIFS(Payments_Raw!$B:$B,A133,Payments_Raw!$F:$F,"Failed")&gt;0,"Failed",IF(COUNTIFS(Payments_Raw!$B:$B,A133,Payments_Raw!$F:$F,"Pending")&gt;0,"Pending","Unpaid")))))</f>
        <v>Unpaid</v>
      </c>
      <c r="N133" s="8">
        <f>SUMIFS(Payments_Raw!$E:$E,Payments_Raw!$B:$B,A133,Payments_Raw!$F:$F,"Successful")</f>
        <v>0</v>
      </c>
      <c r="O133" s="26">
        <f t="shared" si="9"/>
        <v>10820.14</v>
      </c>
      <c r="P133" s="9" t="str">
        <f t="shared" si="10"/>
        <v>Unpaid Invoice</v>
      </c>
      <c r="Q133" s="14" t="str">
        <f t="shared" si="11"/>
        <v>Overdue</v>
      </c>
      <c r="R133" s="14"/>
    </row>
    <row r="134" spans="1:18" x14ac:dyDescent="0.25">
      <c r="A134" s="18" t="s">
        <v>437</v>
      </c>
      <c r="B134" s="8" t="s">
        <v>45</v>
      </c>
      <c r="C134" s="8" t="s">
        <v>438</v>
      </c>
      <c r="D134" s="8" t="s">
        <v>439</v>
      </c>
      <c r="E134" s="19">
        <v>46183</v>
      </c>
      <c r="F134" s="19">
        <v>46213</v>
      </c>
      <c r="G134" s="8">
        <v>10737.89</v>
      </c>
      <c r="H134" s="8" t="s">
        <v>15</v>
      </c>
      <c r="I134" s="8" t="s">
        <v>39</v>
      </c>
      <c r="J134" s="8" t="s">
        <v>17</v>
      </c>
      <c r="K134" s="8" t="s">
        <v>18</v>
      </c>
      <c r="L134" t="str">
        <f t="shared" si="8"/>
        <v>Unique</v>
      </c>
      <c r="M134" s="8" t="str">
        <f>IF(COUNTIF(Payments_Raw!$B:$B,A134)=0,"Unpaid",IF(N134&gt;=G134,"Paid",IF(N134&gt;0,"Partial Payment",IF(COUNTIFS(Payments_Raw!$B:$B,A134,Payments_Raw!$F:$F,"Failed")&gt;0,"Failed",IF(COUNTIFS(Payments_Raw!$B:$B,A134,Payments_Raw!$F:$F,"Pending")&gt;0,"Pending","Unpaid")))))</f>
        <v>Paid</v>
      </c>
      <c r="N134" s="8">
        <f>SUMIFS(Payments_Raw!$E:$E,Payments_Raw!$B:$B,A134,Payments_Raw!$F:$F,"Successful")</f>
        <v>10737.89</v>
      </c>
      <c r="O134" s="26">
        <f t="shared" si="9"/>
        <v>0</v>
      </c>
      <c r="P134" s="9" t="str">
        <f t="shared" si="10"/>
        <v>No Exception</v>
      </c>
      <c r="Q134" s="14" t="str">
        <f t="shared" si="11"/>
        <v>Not Overdue</v>
      </c>
      <c r="R134" s="14"/>
    </row>
    <row r="135" spans="1:18" x14ac:dyDescent="0.25">
      <c r="A135" s="18" t="s">
        <v>440</v>
      </c>
      <c r="B135" s="8" t="s">
        <v>102</v>
      </c>
      <c r="C135" s="8" t="s">
        <v>441</v>
      </c>
      <c r="D135" s="8" t="s">
        <v>442</v>
      </c>
      <c r="E135" s="19">
        <v>46070</v>
      </c>
      <c r="F135" s="19">
        <v>46115</v>
      </c>
      <c r="G135" s="8">
        <v>10865.09</v>
      </c>
      <c r="H135" s="8" t="s">
        <v>15</v>
      </c>
      <c r="I135" s="8" t="s">
        <v>29</v>
      </c>
      <c r="J135" s="8" t="s">
        <v>30</v>
      </c>
      <c r="K135" s="8" t="s">
        <v>24</v>
      </c>
      <c r="L135" t="str">
        <f t="shared" si="8"/>
        <v>Unique</v>
      </c>
      <c r="M135" s="8" t="str">
        <f>IF(COUNTIF(Payments_Raw!$B:$B,A135)=0,"Unpaid",IF(N135&gt;=G135,"Paid",IF(N135&gt;0,"Partial Payment",IF(COUNTIFS(Payments_Raw!$B:$B,A135,Payments_Raw!$F:$F,"Failed")&gt;0,"Failed",IF(COUNTIFS(Payments_Raw!$B:$B,A135,Payments_Raw!$F:$F,"Pending")&gt;0,"Pending","Unpaid")))))</f>
        <v>Paid</v>
      </c>
      <c r="N135" s="8">
        <f>SUMIFS(Payments_Raw!$E:$E,Payments_Raw!$B:$B,A135,Payments_Raw!$F:$F,"Successful")</f>
        <v>10865.09</v>
      </c>
      <c r="O135" s="26">
        <f t="shared" si="9"/>
        <v>0</v>
      </c>
      <c r="P135" s="9" t="str">
        <f t="shared" si="10"/>
        <v>No Exception</v>
      </c>
      <c r="Q135" s="14" t="str">
        <f t="shared" si="11"/>
        <v>Not Overdue</v>
      </c>
      <c r="R135" s="14"/>
    </row>
    <row r="136" spans="1:18" x14ac:dyDescent="0.25">
      <c r="A136" s="18" t="s">
        <v>443</v>
      </c>
      <c r="B136" s="8" t="s">
        <v>32</v>
      </c>
      <c r="C136" s="8" t="s">
        <v>444</v>
      </c>
      <c r="D136" s="8" t="s">
        <v>445</v>
      </c>
      <c r="E136" s="19">
        <v>46191</v>
      </c>
      <c r="F136" s="19">
        <v>46221</v>
      </c>
      <c r="G136" s="8">
        <v>16789.93</v>
      </c>
      <c r="H136" s="8" t="s">
        <v>15</v>
      </c>
      <c r="I136" s="8" t="s">
        <v>16</v>
      </c>
      <c r="J136" s="8" t="s">
        <v>17</v>
      </c>
      <c r="K136" s="8" t="s">
        <v>18</v>
      </c>
      <c r="L136" t="str">
        <f t="shared" si="8"/>
        <v>Unique</v>
      </c>
      <c r="M136" s="8" t="str">
        <f>IF(COUNTIF(Payments_Raw!$B:$B,A136)=0,"Unpaid",IF(N136&gt;=G136,"Paid",IF(N136&gt;0,"Partial Payment",IF(COUNTIFS(Payments_Raw!$B:$B,A136,Payments_Raw!$F:$F,"Failed")&gt;0,"Failed",IF(COUNTIFS(Payments_Raw!$B:$B,A136,Payments_Raw!$F:$F,"Pending")&gt;0,"Pending","Unpaid")))))</f>
        <v>Paid</v>
      </c>
      <c r="N136" s="8">
        <f>SUMIFS(Payments_Raw!$E:$E,Payments_Raw!$B:$B,A136,Payments_Raw!$F:$F,"Successful")</f>
        <v>16789.93</v>
      </c>
      <c r="O136" s="26">
        <f t="shared" si="9"/>
        <v>0</v>
      </c>
      <c r="P136" s="9" t="str">
        <f t="shared" si="10"/>
        <v>No Exception</v>
      </c>
      <c r="Q136" s="14" t="str">
        <f t="shared" si="11"/>
        <v>Not Overdue</v>
      </c>
      <c r="R136" s="14"/>
    </row>
    <row r="137" spans="1:18" x14ac:dyDescent="0.25">
      <c r="A137" s="18" t="s">
        <v>446</v>
      </c>
      <c r="B137" s="8" t="s">
        <v>163</v>
      </c>
      <c r="C137" s="8" t="s">
        <v>447</v>
      </c>
      <c r="D137" s="8" t="s">
        <v>448</v>
      </c>
      <c r="E137" s="19">
        <v>46182</v>
      </c>
      <c r="F137" s="19">
        <v>46197</v>
      </c>
      <c r="G137" s="8">
        <v>8868.9599999999991</v>
      </c>
      <c r="H137" s="8" t="s">
        <v>15</v>
      </c>
      <c r="I137" s="8" t="s">
        <v>16</v>
      </c>
      <c r="J137" s="8" t="s">
        <v>17</v>
      </c>
      <c r="K137" s="8" t="s">
        <v>18</v>
      </c>
      <c r="L137" t="str">
        <f t="shared" si="8"/>
        <v>Unique</v>
      </c>
      <c r="M137" s="8" t="str">
        <f>IF(COUNTIF(Payments_Raw!$B:$B,A137)=0,"Unpaid",IF(N137&gt;=G137,"Paid",IF(N137&gt;0,"Partial Payment",IF(COUNTIFS(Payments_Raw!$B:$B,A137,Payments_Raw!$F:$F,"Failed")&gt;0,"Failed",IF(COUNTIFS(Payments_Raw!$B:$B,A137,Payments_Raw!$F:$F,"Pending")&gt;0,"Pending","Unpaid")))))</f>
        <v>Paid</v>
      </c>
      <c r="N137" s="8">
        <f>SUMIFS(Payments_Raw!$E:$E,Payments_Raw!$B:$B,A137,Payments_Raw!$F:$F,"Successful")</f>
        <v>8868.9599999999991</v>
      </c>
      <c r="O137" s="26">
        <f t="shared" si="9"/>
        <v>0</v>
      </c>
      <c r="P137" s="9" t="str">
        <f t="shared" si="10"/>
        <v>No Exception</v>
      </c>
      <c r="Q137" s="14" t="str">
        <f t="shared" si="11"/>
        <v>Not Overdue</v>
      </c>
      <c r="R137" s="14"/>
    </row>
    <row r="138" spans="1:18" x14ac:dyDescent="0.25">
      <c r="A138" s="18" t="s">
        <v>449</v>
      </c>
      <c r="B138" s="8" t="s">
        <v>57</v>
      </c>
      <c r="C138" s="8" t="s">
        <v>450</v>
      </c>
      <c r="D138" s="8" t="s">
        <v>451</v>
      </c>
      <c r="E138" s="19">
        <v>46307</v>
      </c>
      <c r="F138" s="19">
        <v>46352</v>
      </c>
      <c r="G138" s="8">
        <v>9264.92</v>
      </c>
      <c r="H138" s="8" t="s">
        <v>15</v>
      </c>
      <c r="I138" s="8" t="s">
        <v>39</v>
      </c>
      <c r="J138" s="8" t="s">
        <v>17</v>
      </c>
      <c r="K138" s="8" t="s">
        <v>24</v>
      </c>
      <c r="L138" t="str">
        <f t="shared" si="8"/>
        <v>Unique</v>
      </c>
      <c r="M138" s="8" t="str">
        <f>IF(COUNTIF(Payments_Raw!$B:$B,A138)=0,"Unpaid",IF(N138&gt;=G138,"Paid",IF(N138&gt;0,"Partial Payment",IF(COUNTIFS(Payments_Raw!$B:$B,A138,Payments_Raw!$F:$F,"Failed")&gt;0,"Failed",IF(COUNTIFS(Payments_Raw!$B:$B,A138,Payments_Raw!$F:$F,"Pending")&gt;0,"Pending","Unpaid")))))</f>
        <v>Paid</v>
      </c>
      <c r="N138" s="8">
        <f>SUMIFS(Payments_Raw!$E:$E,Payments_Raw!$B:$B,A138,Payments_Raw!$F:$F,"Successful")</f>
        <v>9264.92</v>
      </c>
      <c r="O138" s="26">
        <f t="shared" si="9"/>
        <v>0</v>
      </c>
      <c r="P138" s="9" t="str">
        <f t="shared" si="10"/>
        <v>No Exception</v>
      </c>
      <c r="Q138" s="14" t="str">
        <f t="shared" si="11"/>
        <v>Not Overdue</v>
      </c>
      <c r="R138" s="14"/>
    </row>
    <row r="139" spans="1:18" x14ac:dyDescent="0.25">
      <c r="A139" s="18" t="s">
        <v>452</v>
      </c>
      <c r="B139" s="8" t="s">
        <v>138</v>
      </c>
      <c r="C139" s="8" t="s">
        <v>453</v>
      </c>
      <c r="D139" s="8" t="s">
        <v>454</v>
      </c>
      <c r="E139" s="19">
        <v>46308</v>
      </c>
      <c r="F139" s="19">
        <v>46353</v>
      </c>
      <c r="G139" s="8">
        <v>773.2</v>
      </c>
      <c r="H139" s="8" t="s">
        <v>15</v>
      </c>
      <c r="I139" s="8" t="s">
        <v>29</v>
      </c>
      <c r="J139" s="8" t="s">
        <v>17</v>
      </c>
      <c r="K139" s="8" t="s">
        <v>63</v>
      </c>
      <c r="L139" t="str">
        <f t="shared" si="8"/>
        <v>Unique</v>
      </c>
      <c r="M139" s="8" t="str">
        <f>IF(COUNTIF(Payments_Raw!$B:$B,A139)=0,"Unpaid",IF(N139&gt;=G139,"Paid",IF(N139&gt;0,"Partial Payment",IF(COUNTIFS(Payments_Raw!$B:$B,A139,Payments_Raw!$F:$F,"Failed")&gt;0,"Failed",IF(COUNTIFS(Payments_Raw!$B:$B,A139,Payments_Raw!$F:$F,"Pending")&gt;0,"Pending","Unpaid")))))</f>
        <v>Paid</v>
      </c>
      <c r="N139" s="8">
        <f>SUMIFS(Payments_Raw!$E:$E,Payments_Raw!$B:$B,A139,Payments_Raw!$F:$F,"Successful")</f>
        <v>773.2</v>
      </c>
      <c r="O139" s="26">
        <f t="shared" si="9"/>
        <v>0</v>
      </c>
      <c r="P139" s="9" t="str">
        <f t="shared" si="10"/>
        <v>No Exception</v>
      </c>
      <c r="Q139" s="14" t="str">
        <f t="shared" si="11"/>
        <v>Not Overdue</v>
      </c>
      <c r="R139" s="14"/>
    </row>
    <row r="140" spans="1:18" x14ac:dyDescent="0.25">
      <c r="A140" s="18" t="s">
        <v>455</v>
      </c>
      <c r="B140" s="8" t="s">
        <v>26</v>
      </c>
      <c r="C140" s="8" t="s">
        <v>456</v>
      </c>
      <c r="D140" s="8" t="s">
        <v>457</v>
      </c>
      <c r="E140" s="19">
        <v>46202</v>
      </c>
      <c r="F140" s="19">
        <v>46232</v>
      </c>
      <c r="G140" s="8">
        <v>271.91000000000003</v>
      </c>
      <c r="H140" s="8" t="s">
        <v>15</v>
      </c>
      <c r="I140" s="8" t="s">
        <v>16</v>
      </c>
      <c r="J140" s="8" t="s">
        <v>17</v>
      </c>
      <c r="K140" s="8" t="s">
        <v>24</v>
      </c>
      <c r="L140" t="str">
        <f t="shared" si="8"/>
        <v>Unique</v>
      </c>
      <c r="M140" s="8" t="str">
        <f>IF(COUNTIF(Payments_Raw!$B:$B,A140)=0,"Unpaid",IF(N140&gt;=G140,"Paid",IF(N140&gt;0,"Partial Payment",IF(COUNTIFS(Payments_Raw!$B:$B,A140,Payments_Raw!$F:$F,"Failed")&gt;0,"Failed",IF(COUNTIFS(Payments_Raw!$B:$B,A140,Payments_Raw!$F:$F,"Pending")&gt;0,"Pending","Unpaid")))))</f>
        <v>Paid</v>
      </c>
      <c r="N140" s="8">
        <f>SUMIFS(Payments_Raw!$E:$E,Payments_Raw!$B:$B,A140,Payments_Raw!$F:$F,"Successful")</f>
        <v>271.91000000000003</v>
      </c>
      <c r="O140" s="26">
        <f t="shared" si="9"/>
        <v>0</v>
      </c>
      <c r="P140" s="9" t="str">
        <f t="shared" si="10"/>
        <v>No Exception</v>
      </c>
      <c r="Q140" s="14" t="str">
        <f t="shared" si="11"/>
        <v>Not Overdue</v>
      </c>
      <c r="R140" s="14"/>
    </row>
    <row r="141" spans="1:18" x14ac:dyDescent="0.25">
      <c r="A141" s="18" t="s">
        <v>458</v>
      </c>
      <c r="B141" s="8" t="s">
        <v>71</v>
      </c>
      <c r="C141" s="8" t="s">
        <v>459</v>
      </c>
      <c r="D141" s="8" t="s">
        <v>460</v>
      </c>
      <c r="E141" s="19">
        <v>46069</v>
      </c>
      <c r="F141" s="19">
        <v>46084</v>
      </c>
      <c r="G141" s="8">
        <v>18683.259999999998</v>
      </c>
      <c r="H141" s="8" t="s">
        <v>15</v>
      </c>
      <c r="I141" s="8" t="s">
        <v>16</v>
      </c>
      <c r="J141" s="8" t="s">
        <v>17</v>
      </c>
      <c r="K141" s="8" t="s">
        <v>24</v>
      </c>
      <c r="L141" t="str">
        <f t="shared" si="8"/>
        <v>Unique</v>
      </c>
      <c r="M141" s="8" t="str">
        <f>IF(COUNTIF(Payments_Raw!$B:$B,A141)=0,"Unpaid",IF(N141&gt;=G141,"Paid",IF(N141&gt;0,"Partial Payment",IF(COUNTIFS(Payments_Raw!$B:$B,A141,Payments_Raw!$F:$F,"Failed")&gt;0,"Failed",IF(COUNTIFS(Payments_Raw!$B:$B,A141,Payments_Raw!$F:$F,"Pending")&gt;0,"Pending","Unpaid")))))</f>
        <v>Paid</v>
      </c>
      <c r="N141" s="8">
        <f>SUMIFS(Payments_Raw!$E:$E,Payments_Raw!$B:$B,A141,Payments_Raw!$F:$F,"Successful")</f>
        <v>18683.259999999998</v>
      </c>
      <c r="O141" s="26">
        <f t="shared" si="9"/>
        <v>0</v>
      </c>
      <c r="P141" s="9" t="str">
        <f t="shared" si="10"/>
        <v>No Exception</v>
      </c>
      <c r="Q141" s="14" t="str">
        <f t="shared" si="11"/>
        <v>Not Overdue</v>
      </c>
      <c r="R141" s="14"/>
    </row>
    <row r="142" spans="1:18" x14ac:dyDescent="0.25">
      <c r="A142" s="18" t="s">
        <v>461</v>
      </c>
      <c r="B142" s="8" t="s">
        <v>26</v>
      </c>
      <c r="C142" s="8" t="s">
        <v>462</v>
      </c>
      <c r="D142" s="8" t="s">
        <v>463</v>
      </c>
      <c r="E142" s="19">
        <v>46066</v>
      </c>
      <c r="F142" s="19">
        <v>46096</v>
      </c>
      <c r="G142" s="8">
        <v>22097.55</v>
      </c>
      <c r="H142" s="8" t="s">
        <v>15</v>
      </c>
      <c r="I142" s="8" t="s">
        <v>16</v>
      </c>
      <c r="J142" s="8" t="s">
        <v>17</v>
      </c>
      <c r="K142" s="8" t="s">
        <v>24</v>
      </c>
      <c r="L142" t="str">
        <f t="shared" si="8"/>
        <v>Unique</v>
      </c>
      <c r="M142" s="8" t="str">
        <f>IF(COUNTIF(Payments_Raw!$B:$B,A142)=0,"Unpaid",IF(N142&gt;=G142,"Paid",IF(N142&gt;0,"Partial Payment",IF(COUNTIFS(Payments_Raw!$B:$B,A142,Payments_Raw!$F:$F,"Failed")&gt;0,"Failed",IF(COUNTIFS(Payments_Raw!$B:$B,A142,Payments_Raw!$F:$F,"Pending")&gt;0,"Pending","Unpaid")))))</f>
        <v>Paid</v>
      </c>
      <c r="N142" s="8">
        <f>SUMIFS(Payments_Raw!$E:$E,Payments_Raw!$B:$B,A142,Payments_Raw!$F:$F,"Successful")</f>
        <v>22097.55</v>
      </c>
      <c r="O142" s="26">
        <f t="shared" si="9"/>
        <v>0</v>
      </c>
      <c r="P142" s="9" t="str">
        <f t="shared" si="10"/>
        <v>No Exception</v>
      </c>
      <c r="Q142" s="14" t="str">
        <f t="shared" si="11"/>
        <v>Not Overdue</v>
      </c>
      <c r="R142" s="14"/>
    </row>
    <row r="143" spans="1:18" x14ac:dyDescent="0.25">
      <c r="A143" s="18" t="s">
        <v>464</v>
      </c>
      <c r="B143" s="8" t="s">
        <v>85</v>
      </c>
      <c r="C143" s="8" t="s">
        <v>465</v>
      </c>
      <c r="D143" s="8" t="s">
        <v>466</v>
      </c>
      <c r="E143" s="19">
        <v>46271</v>
      </c>
      <c r="F143" s="19">
        <v>46316</v>
      </c>
      <c r="G143" s="8">
        <v>15224.05</v>
      </c>
      <c r="H143" s="8" t="s">
        <v>15</v>
      </c>
      <c r="I143" s="8" t="s">
        <v>16</v>
      </c>
      <c r="J143" s="8" t="s">
        <v>17</v>
      </c>
      <c r="K143" s="8" t="s">
        <v>18</v>
      </c>
      <c r="L143" t="str">
        <f t="shared" si="8"/>
        <v>Unique</v>
      </c>
      <c r="M143" s="8" t="str">
        <f>IF(COUNTIF(Payments_Raw!$B:$B,A143)=0,"Unpaid",IF(N143&gt;=G143,"Paid",IF(N143&gt;0,"Partial Payment",IF(COUNTIFS(Payments_Raw!$B:$B,A143,Payments_Raw!$F:$F,"Failed")&gt;0,"Failed",IF(COUNTIFS(Payments_Raw!$B:$B,A143,Payments_Raw!$F:$F,"Pending")&gt;0,"Pending","Unpaid")))))</f>
        <v>Paid</v>
      </c>
      <c r="N143" s="8">
        <f>SUMIFS(Payments_Raw!$E:$E,Payments_Raw!$B:$B,A143,Payments_Raw!$F:$F,"Successful")</f>
        <v>15224.05</v>
      </c>
      <c r="O143" s="26">
        <f t="shared" si="9"/>
        <v>0</v>
      </c>
      <c r="P143" s="9" t="str">
        <f t="shared" si="10"/>
        <v>No Exception</v>
      </c>
      <c r="Q143" s="14" t="str">
        <f t="shared" si="11"/>
        <v>Not Overdue</v>
      </c>
      <c r="R143" s="14"/>
    </row>
    <row r="144" spans="1:18" x14ac:dyDescent="0.25">
      <c r="A144" s="18" t="s">
        <v>467</v>
      </c>
      <c r="B144" s="8" t="s">
        <v>163</v>
      </c>
      <c r="C144" s="8" t="s">
        <v>468</v>
      </c>
      <c r="D144" s="8" t="s">
        <v>469</v>
      </c>
      <c r="E144" s="19">
        <v>46272</v>
      </c>
      <c r="F144" s="19">
        <v>46287</v>
      </c>
      <c r="G144" s="8">
        <v>13230.12</v>
      </c>
      <c r="H144" s="8" t="s">
        <v>15</v>
      </c>
      <c r="I144" s="8" t="s">
        <v>23</v>
      </c>
      <c r="J144" s="8" t="s">
        <v>30</v>
      </c>
      <c r="K144" s="8" t="s">
        <v>18</v>
      </c>
      <c r="L144" t="str">
        <f t="shared" si="8"/>
        <v>Unique</v>
      </c>
      <c r="M144" s="8" t="str">
        <f>IF(COUNTIF(Payments_Raw!$B:$B,A144)=0,"Unpaid",IF(N144&gt;=G144,"Paid",IF(N144&gt;0,"Partial Payment",IF(COUNTIFS(Payments_Raw!$B:$B,A144,Payments_Raw!$F:$F,"Failed")&gt;0,"Failed",IF(COUNTIFS(Payments_Raw!$B:$B,A144,Payments_Raw!$F:$F,"Pending")&gt;0,"Pending","Unpaid")))))</f>
        <v>Pending</v>
      </c>
      <c r="N144" s="8">
        <f>SUMIFS(Payments_Raw!$E:$E,Payments_Raw!$B:$B,A144,Payments_Raw!$F:$F,"Successful")</f>
        <v>0</v>
      </c>
      <c r="O144" s="26">
        <f t="shared" si="9"/>
        <v>13230.12</v>
      </c>
      <c r="P144" s="9" t="str">
        <f t="shared" si="10"/>
        <v>Pending Payment</v>
      </c>
      <c r="Q144" s="14" t="str">
        <f t="shared" si="11"/>
        <v>Overdue</v>
      </c>
      <c r="R144" s="14"/>
    </row>
    <row r="145" spans="1:18" x14ac:dyDescent="0.25">
      <c r="A145" s="18" t="s">
        <v>470</v>
      </c>
      <c r="B145" s="8" t="s">
        <v>163</v>
      </c>
      <c r="C145" s="8" t="s">
        <v>471</v>
      </c>
      <c r="D145" s="8" t="s">
        <v>472</v>
      </c>
      <c r="E145" s="19">
        <v>46131</v>
      </c>
      <c r="F145" s="19">
        <v>46146</v>
      </c>
      <c r="G145" s="8">
        <v>19211.66</v>
      </c>
      <c r="H145" s="8" t="s">
        <v>15</v>
      </c>
      <c r="I145" s="8" t="s">
        <v>29</v>
      </c>
      <c r="J145" s="8" t="s">
        <v>17</v>
      </c>
      <c r="K145" s="8" t="s">
        <v>63</v>
      </c>
      <c r="L145" t="str">
        <f t="shared" si="8"/>
        <v>Unique</v>
      </c>
      <c r="M145" s="8" t="str">
        <f>IF(COUNTIF(Payments_Raw!$B:$B,A145)=0,"Unpaid",IF(N145&gt;=G145,"Paid",IF(N145&gt;0,"Partial Payment",IF(COUNTIFS(Payments_Raw!$B:$B,A145,Payments_Raw!$F:$F,"Failed")&gt;0,"Failed",IF(COUNTIFS(Payments_Raw!$B:$B,A145,Payments_Raw!$F:$F,"Pending")&gt;0,"Pending","Unpaid")))))</f>
        <v>Paid</v>
      </c>
      <c r="N145" s="8">
        <f>SUMIFS(Payments_Raw!$E:$E,Payments_Raw!$B:$B,A145,Payments_Raw!$F:$F,"Successful")</f>
        <v>19788.009999999998</v>
      </c>
      <c r="O145" s="26">
        <f t="shared" si="9"/>
        <v>-576.34999999999854</v>
      </c>
      <c r="P145" s="9" t="str">
        <f t="shared" si="10"/>
        <v>No Exception</v>
      </c>
      <c r="Q145" s="14" t="str">
        <f t="shared" si="11"/>
        <v>Not Overdue</v>
      </c>
      <c r="R145" s="14"/>
    </row>
    <row r="146" spans="1:18" x14ac:dyDescent="0.25">
      <c r="A146" s="18" t="s">
        <v>473</v>
      </c>
      <c r="B146" s="8" t="s">
        <v>12</v>
      </c>
      <c r="C146" s="8" t="s">
        <v>474</v>
      </c>
      <c r="D146" s="8" t="s">
        <v>475</v>
      </c>
      <c r="E146" s="19">
        <v>46089</v>
      </c>
      <c r="F146" s="19">
        <v>46104</v>
      </c>
      <c r="G146" s="8">
        <v>9579.56</v>
      </c>
      <c r="H146" s="8" t="s">
        <v>15</v>
      </c>
      <c r="I146" s="8" t="s">
        <v>39</v>
      </c>
      <c r="J146" s="8" t="s">
        <v>17</v>
      </c>
      <c r="K146" s="8" t="s">
        <v>18</v>
      </c>
      <c r="L146" t="str">
        <f t="shared" si="8"/>
        <v>Unique</v>
      </c>
      <c r="M146" s="8" t="str">
        <f>IF(COUNTIF(Payments_Raw!$B:$B,A146)=0,"Unpaid",IF(N146&gt;=G146,"Paid",IF(N146&gt;0,"Partial Payment",IF(COUNTIFS(Payments_Raw!$B:$B,A146,Payments_Raw!$F:$F,"Failed")&gt;0,"Failed",IF(COUNTIFS(Payments_Raw!$B:$B,A146,Payments_Raw!$F:$F,"Pending")&gt;0,"Pending","Unpaid")))))</f>
        <v>Paid</v>
      </c>
      <c r="N146" s="8">
        <f>SUMIFS(Payments_Raw!$E:$E,Payments_Raw!$B:$B,A146,Payments_Raw!$F:$F,"Successful")</f>
        <v>9579.56</v>
      </c>
      <c r="O146" s="26">
        <f t="shared" si="9"/>
        <v>0</v>
      </c>
      <c r="P146" s="9" t="str">
        <f t="shared" si="10"/>
        <v>No Exception</v>
      </c>
      <c r="Q146" s="14" t="str">
        <f t="shared" si="11"/>
        <v>Not Overdue</v>
      </c>
      <c r="R146" s="14"/>
    </row>
    <row r="147" spans="1:18" x14ac:dyDescent="0.25">
      <c r="A147" s="18" t="s">
        <v>476</v>
      </c>
      <c r="B147" s="8" t="s">
        <v>41</v>
      </c>
      <c r="C147" s="8" t="s">
        <v>477</v>
      </c>
      <c r="D147" s="8" t="s">
        <v>478</v>
      </c>
      <c r="E147" s="19">
        <v>46044</v>
      </c>
      <c r="F147" s="19">
        <v>46059</v>
      </c>
      <c r="G147" s="8">
        <v>10973.14</v>
      </c>
      <c r="H147" s="8" t="s">
        <v>15</v>
      </c>
      <c r="I147" s="8" t="s">
        <v>16</v>
      </c>
      <c r="J147" s="8" t="s">
        <v>17</v>
      </c>
      <c r="K147" s="8" t="s">
        <v>24</v>
      </c>
      <c r="L147" t="str">
        <f t="shared" si="8"/>
        <v>Unique</v>
      </c>
      <c r="M147" s="8" t="str">
        <f>IF(COUNTIF(Payments_Raw!$B:$B,A147)=0,"Unpaid",IF(N147&gt;=G147,"Paid",IF(N147&gt;0,"Partial Payment",IF(COUNTIFS(Payments_Raw!$B:$B,A147,Payments_Raw!$F:$F,"Failed")&gt;0,"Failed",IF(COUNTIFS(Payments_Raw!$B:$B,A147,Payments_Raw!$F:$F,"Pending")&gt;0,"Pending","Unpaid")))))</f>
        <v>Unpaid</v>
      </c>
      <c r="N147" s="8">
        <f>SUMIFS(Payments_Raw!$E:$E,Payments_Raw!$B:$B,A147,Payments_Raw!$F:$F,"Successful")</f>
        <v>0</v>
      </c>
      <c r="O147" s="26">
        <f t="shared" si="9"/>
        <v>10973.14</v>
      </c>
      <c r="P147" s="9" t="str">
        <f t="shared" si="10"/>
        <v>Unpaid Invoice</v>
      </c>
      <c r="Q147" s="14" t="str">
        <f t="shared" si="11"/>
        <v>Overdue</v>
      </c>
      <c r="R147" s="14"/>
    </row>
    <row r="148" spans="1:18" x14ac:dyDescent="0.25">
      <c r="A148" s="18" t="s">
        <v>479</v>
      </c>
      <c r="B148" s="8" t="s">
        <v>85</v>
      </c>
      <c r="C148" s="8" t="s">
        <v>480</v>
      </c>
      <c r="D148" s="8" t="s">
        <v>481</v>
      </c>
      <c r="E148" s="19">
        <v>46171</v>
      </c>
      <c r="F148" s="19">
        <v>46216</v>
      </c>
      <c r="G148" s="8">
        <v>36366.89</v>
      </c>
      <c r="H148" s="8" t="s">
        <v>15</v>
      </c>
      <c r="I148" s="8" t="s">
        <v>39</v>
      </c>
      <c r="J148" s="8" t="s">
        <v>17</v>
      </c>
      <c r="K148" s="8" t="s">
        <v>18</v>
      </c>
      <c r="L148" t="str">
        <f t="shared" si="8"/>
        <v>Unique</v>
      </c>
      <c r="M148" s="8" t="str">
        <f>IF(COUNTIF(Payments_Raw!$B:$B,A148)=0,"Unpaid",IF(N148&gt;=G148,"Paid",IF(N148&gt;0,"Partial Payment",IF(COUNTIFS(Payments_Raw!$B:$B,A148,Payments_Raw!$F:$F,"Failed")&gt;0,"Failed",IF(COUNTIFS(Payments_Raw!$B:$B,A148,Payments_Raw!$F:$F,"Pending")&gt;0,"Pending","Unpaid")))))</f>
        <v>Unpaid</v>
      </c>
      <c r="N148" s="8">
        <f>SUMIFS(Payments_Raw!$E:$E,Payments_Raw!$B:$B,A148,Payments_Raw!$F:$F,"Successful")</f>
        <v>0</v>
      </c>
      <c r="O148" s="26">
        <f t="shared" si="9"/>
        <v>36366.89</v>
      </c>
      <c r="P148" s="9" t="str">
        <f t="shared" si="10"/>
        <v>Unpaid Invoice</v>
      </c>
      <c r="Q148" s="14" t="str">
        <f t="shared" si="11"/>
        <v>Overdue</v>
      </c>
      <c r="R148" s="14"/>
    </row>
    <row r="149" spans="1:18" x14ac:dyDescent="0.25">
      <c r="A149" s="18" t="s">
        <v>482</v>
      </c>
      <c r="B149" s="8" t="s">
        <v>85</v>
      </c>
      <c r="C149" s="8" t="s">
        <v>483</v>
      </c>
      <c r="D149" s="8" t="s">
        <v>484</v>
      </c>
      <c r="E149" s="19">
        <v>46077</v>
      </c>
      <c r="F149" s="19">
        <v>46122</v>
      </c>
      <c r="G149" s="8">
        <v>6173.71</v>
      </c>
      <c r="H149" s="8" t="s">
        <v>15</v>
      </c>
      <c r="I149" s="8" t="s">
        <v>16</v>
      </c>
      <c r="J149" s="8" t="s">
        <v>17</v>
      </c>
      <c r="K149" s="8" t="s">
        <v>63</v>
      </c>
      <c r="L149" t="str">
        <f t="shared" si="8"/>
        <v>Unique</v>
      </c>
      <c r="M149" s="8" t="str">
        <f>IF(COUNTIF(Payments_Raw!$B:$B,A149)=0,"Unpaid",IF(N149&gt;=G149,"Paid",IF(N149&gt;0,"Partial Payment",IF(COUNTIFS(Payments_Raw!$B:$B,A149,Payments_Raw!$F:$F,"Failed")&gt;0,"Failed",IF(COUNTIFS(Payments_Raw!$B:$B,A149,Payments_Raw!$F:$F,"Pending")&gt;0,"Pending","Unpaid")))))</f>
        <v>Paid</v>
      </c>
      <c r="N149" s="8">
        <f>SUMIFS(Payments_Raw!$E:$E,Payments_Raw!$B:$B,A149,Payments_Raw!$F:$F,"Successful")</f>
        <v>6173.71</v>
      </c>
      <c r="O149" s="26">
        <f t="shared" si="9"/>
        <v>0</v>
      </c>
      <c r="P149" s="9" t="str">
        <f t="shared" si="10"/>
        <v>No Exception</v>
      </c>
      <c r="Q149" s="14" t="str">
        <f t="shared" si="11"/>
        <v>Not Overdue</v>
      </c>
      <c r="R149" s="14"/>
    </row>
    <row r="150" spans="1:18" x14ac:dyDescent="0.25">
      <c r="A150" s="18" t="s">
        <v>485</v>
      </c>
      <c r="B150" s="8" t="s">
        <v>20</v>
      </c>
      <c r="C150" s="8" t="s">
        <v>486</v>
      </c>
      <c r="D150" s="8" t="s">
        <v>487</v>
      </c>
      <c r="E150" s="19">
        <v>46193</v>
      </c>
      <c r="F150" s="19">
        <v>46208</v>
      </c>
      <c r="G150" s="8">
        <v>47162.86</v>
      </c>
      <c r="H150" s="8" t="s">
        <v>15</v>
      </c>
      <c r="I150" s="8" t="s">
        <v>29</v>
      </c>
      <c r="J150" s="8" t="s">
        <v>17</v>
      </c>
      <c r="K150" s="8" t="s">
        <v>63</v>
      </c>
      <c r="L150" t="str">
        <f t="shared" si="8"/>
        <v>Unique</v>
      </c>
      <c r="M150" s="8" t="str">
        <f>IF(COUNTIF(Payments_Raw!$B:$B,A150)=0,"Unpaid",IF(N150&gt;=G150,"Paid",IF(N150&gt;0,"Partial Payment",IF(COUNTIFS(Payments_Raw!$B:$B,A150,Payments_Raw!$F:$F,"Failed")&gt;0,"Failed",IF(COUNTIFS(Payments_Raw!$B:$B,A150,Payments_Raw!$F:$F,"Pending")&gt;0,"Pending","Unpaid")))))</f>
        <v>Paid</v>
      </c>
      <c r="N150" s="8">
        <f>SUMIFS(Payments_Raw!$E:$E,Payments_Raw!$B:$B,A150,Payments_Raw!$F:$F,"Successful")</f>
        <v>50935.89</v>
      </c>
      <c r="O150" s="26">
        <f t="shared" si="9"/>
        <v>-3773.0299999999988</v>
      </c>
      <c r="P150" s="9" t="str">
        <f t="shared" si="10"/>
        <v>No Exception</v>
      </c>
      <c r="Q150" s="14" t="str">
        <f t="shared" si="11"/>
        <v>Not Overdue</v>
      </c>
      <c r="R150" s="14"/>
    </row>
    <row r="151" spans="1:18" x14ac:dyDescent="0.25">
      <c r="A151" s="18" t="s">
        <v>488</v>
      </c>
      <c r="B151" s="8" t="s">
        <v>122</v>
      </c>
      <c r="C151" s="8" t="s">
        <v>489</v>
      </c>
      <c r="D151" s="8" t="s">
        <v>490</v>
      </c>
      <c r="E151" s="19">
        <v>46143</v>
      </c>
      <c r="F151" s="19">
        <v>46158</v>
      </c>
      <c r="G151" s="8">
        <v>2677.78</v>
      </c>
      <c r="H151" s="8" t="s">
        <v>15</v>
      </c>
      <c r="I151" s="8" t="s">
        <v>29</v>
      </c>
      <c r="J151" s="8" t="s">
        <v>17</v>
      </c>
      <c r="K151" s="8" t="s">
        <v>18</v>
      </c>
      <c r="L151" t="str">
        <f t="shared" si="8"/>
        <v>Unique</v>
      </c>
      <c r="M151" s="8" t="str">
        <f>IF(COUNTIF(Payments_Raw!$B:$B,A151)=0,"Unpaid",IF(N151&gt;=G151,"Paid",IF(N151&gt;0,"Partial Payment",IF(COUNTIFS(Payments_Raw!$B:$B,A151,Payments_Raw!$F:$F,"Failed")&gt;0,"Failed",IF(COUNTIFS(Payments_Raw!$B:$B,A151,Payments_Raw!$F:$F,"Pending")&gt;0,"Pending","Unpaid")))))</f>
        <v>Paid</v>
      </c>
      <c r="N151" s="8">
        <f>SUMIFS(Payments_Raw!$E:$E,Payments_Raw!$B:$B,A151,Payments_Raw!$F:$F,"Successful")</f>
        <v>2677.78</v>
      </c>
      <c r="O151" s="26">
        <f t="shared" si="9"/>
        <v>0</v>
      </c>
      <c r="P151" s="9" t="str">
        <f t="shared" si="10"/>
        <v>No Exception</v>
      </c>
      <c r="Q151" s="14" t="str">
        <f t="shared" si="11"/>
        <v>Not Overdue</v>
      </c>
      <c r="R151" s="14"/>
    </row>
    <row r="152" spans="1:18" x14ac:dyDescent="0.25">
      <c r="A152" s="18" t="s">
        <v>491</v>
      </c>
      <c r="B152" s="8" t="s">
        <v>12</v>
      </c>
      <c r="C152" s="8" t="s">
        <v>492</v>
      </c>
      <c r="D152" s="8" t="s">
        <v>493</v>
      </c>
      <c r="E152" s="19">
        <v>46275</v>
      </c>
      <c r="F152" s="19">
        <v>46290</v>
      </c>
      <c r="G152" s="8">
        <v>11663.15</v>
      </c>
      <c r="H152" s="8" t="s">
        <v>15</v>
      </c>
      <c r="I152" s="8" t="s">
        <v>39</v>
      </c>
      <c r="J152" s="8" t="s">
        <v>17</v>
      </c>
      <c r="K152" s="8" t="s">
        <v>24</v>
      </c>
      <c r="L152" t="str">
        <f t="shared" si="8"/>
        <v>Unique</v>
      </c>
      <c r="M152" s="8" t="str">
        <f>IF(COUNTIF(Payments_Raw!$B:$B,A152)=0,"Unpaid",IF(N152&gt;=G152,"Paid",IF(N152&gt;0,"Partial Payment",IF(COUNTIFS(Payments_Raw!$B:$B,A152,Payments_Raw!$F:$F,"Failed")&gt;0,"Failed",IF(COUNTIFS(Payments_Raw!$B:$B,A152,Payments_Raw!$F:$F,"Pending")&gt;0,"Pending","Unpaid")))))</f>
        <v>Paid</v>
      </c>
      <c r="N152" s="8">
        <f>SUMIFS(Payments_Raw!$E:$E,Payments_Raw!$B:$B,A152,Payments_Raw!$F:$F,"Successful")</f>
        <v>11663.15</v>
      </c>
      <c r="O152" s="26">
        <f t="shared" si="9"/>
        <v>0</v>
      </c>
      <c r="P152" s="9" t="str">
        <f t="shared" si="10"/>
        <v>No Exception</v>
      </c>
      <c r="Q152" s="14" t="str">
        <f t="shared" si="11"/>
        <v>Not Overdue</v>
      </c>
      <c r="R152" s="14"/>
    </row>
    <row r="153" spans="1:18" x14ac:dyDescent="0.25">
      <c r="A153" s="18" t="s">
        <v>494</v>
      </c>
      <c r="B153" s="8" t="s">
        <v>138</v>
      </c>
      <c r="C153" s="8" t="s">
        <v>495</v>
      </c>
      <c r="D153" s="8" t="s">
        <v>496</v>
      </c>
      <c r="E153" s="19">
        <v>46188</v>
      </c>
      <c r="F153" s="19">
        <v>46233</v>
      </c>
      <c r="G153" s="8">
        <v>21622.46</v>
      </c>
      <c r="H153" s="8" t="s">
        <v>15</v>
      </c>
      <c r="I153" s="8" t="s">
        <v>29</v>
      </c>
      <c r="J153" s="8" t="s">
        <v>17</v>
      </c>
      <c r="K153" s="8" t="s">
        <v>63</v>
      </c>
      <c r="L153" t="str">
        <f t="shared" si="8"/>
        <v>Unique</v>
      </c>
      <c r="M153" s="8" t="str">
        <f>IF(COUNTIF(Payments_Raw!$B:$B,A153)=0,"Unpaid",IF(N153&gt;=G153,"Paid",IF(N153&gt;0,"Partial Payment",IF(COUNTIFS(Payments_Raw!$B:$B,A153,Payments_Raw!$F:$F,"Failed")&gt;0,"Failed",IF(COUNTIFS(Payments_Raw!$B:$B,A153,Payments_Raw!$F:$F,"Pending")&gt;0,"Pending","Unpaid")))))</f>
        <v>Paid</v>
      </c>
      <c r="N153" s="8">
        <f>SUMIFS(Payments_Raw!$E:$E,Payments_Raw!$B:$B,A153,Payments_Raw!$F:$F,"Successful")</f>
        <v>21622.46</v>
      </c>
      <c r="O153" s="26">
        <f t="shared" si="9"/>
        <v>0</v>
      </c>
      <c r="P153" s="9" t="str">
        <f t="shared" si="10"/>
        <v>No Exception</v>
      </c>
      <c r="Q153" s="14" t="str">
        <f t="shared" si="11"/>
        <v>Not Overdue</v>
      </c>
      <c r="R153" s="14"/>
    </row>
    <row r="154" spans="1:18" x14ac:dyDescent="0.25">
      <c r="A154" s="18" t="s">
        <v>497</v>
      </c>
      <c r="B154" s="8" t="s">
        <v>49</v>
      </c>
      <c r="C154" s="8" t="s">
        <v>498</v>
      </c>
      <c r="D154" s="8" t="s">
        <v>499</v>
      </c>
      <c r="E154" s="19">
        <v>46051</v>
      </c>
      <c r="F154" s="19">
        <v>46081</v>
      </c>
      <c r="G154" s="8">
        <v>41160.99</v>
      </c>
      <c r="H154" s="8" t="s">
        <v>15</v>
      </c>
      <c r="I154" s="8" t="s">
        <v>16</v>
      </c>
      <c r="J154" s="8" t="s">
        <v>17</v>
      </c>
      <c r="K154" s="8" t="s">
        <v>24</v>
      </c>
      <c r="L154" t="str">
        <f t="shared" si="8"/>
        <v>Unique</v>
      </c>
      <c r="M154" s="8" t="str">
        <f>IF(COUNTIF(Payments_Raw!$B:$B,A154)=0,"Unpaid",IF(N154&gt;=G154,"Paid",IF(N154&gt;0,"Partial Payment",IF(COUNTIFS(Payments_Raw!$B:$B,A154,Payments_Raw!$F:$F,"Failed")&gt;0,"Failed",IF(COUNTIFS(Payments_Raw!$B:$B,A154,Payments_Raw!$F:$F,"Pending")&gt;0,"Pending","Unpaid")))))</f>
        <v>Paid</v>
      </c>
      <c r="N154" s="8">
        <f>SUMIFS(Payments_Raw!$E:$E,Payments_Raw!$B:$B,A154,Payments_Raw!$F:$F,"Successful")</f>
        <v>41160.99</v>
      </c>
      <c r="O154" s="26">
        <f t="shared" si="9"/>
        <v>0</v>
      </c>
      <c r="P154" s="9" t="str">
        <f t="shared" si="10"/>
        <v>No Exception</v>
      </c>
      <c r="Q154" s="14" t="str">
        <f t="shared" si="11"/>
        <v>Not Overdue</v>
      </c>
      <c r="R154" s="14"/>
    </row>
    <row r="155" spans="1:18" x14ac:dyDescent="0.25">
      <c r="A155" s="18" t="s">
        <v>500</v>
      </c>
      <c r="B155" s="8" t="s">
        <v>102</v>
      </c>
      <c r="C155" s="8" t="s">
        <v>501</v>
      </c>
      <c r="D155" s="8" t="s">
        <v>502</v>
      </c>
      <c r="E155" s="19">
        <v>46282</v>
      </c>
      <c r="F155" s="19">
        <v>46327</v>
      </c>
      <c r="G155" s="8">
        <v>9685.92</v>
      </c>
      <c r="H155" s="8" t="s">
        <v>15</v>
      </c>
      <c r="I155" s="8" t="s">
        <v>23</v>
      </c>
      <c r="J155" s="8" t="s">
        <v>17</v>
      </c>
      <c r="K155" s="8" t="s">
        <v>18</v>
      </c>
      <c r="L155" t="str">
        <f t="shared" si="8"/>
        <v>Unique</v>
      </c>
      <c r="M155" s="8" t="str">
        <f>IF(COUNTIF(Payments_Raw!$B:$B,A155)=0,"Unpaid",IF(N155&gt;=G155,"Paid",IF(N155&gt;0,"Partial Payment",IF(COUNTIFS(Payments_Raw!$B:$B,A155,Payments_Raw!$F:$F,"Failed")&gt;0,"Failed",IF(COUNTIFS(Payments_Raw!$B:$B,A155,Payments_Raw!$F:$F,"Pending")&gt;0,"Pending","Unpaid")))))</f>
        <v>Paid</v>
      </c>
      <c r="N155" s="8">
        <f>SUMIFS(Payments_Raw!$E:$E,Payments_Raw!$B:$B,A155,Payments_Raw!$F:$F,"Successful")</f>
        <v>9685.92</v>
      </c>
      <c r="O155" s="26">
        <f t="shared" si="9"/>
        <v>0</v>
      </c>
      <c r="P155" s="9" t="str">
        <f t="shared" si="10"/>
        <v>No Exception</v>
      </c>
      <c r="Q155" s="14" t="str">
        <f t="shared" si="11"/>
        <v>Not Overdue</v>
      </c>
      <c r="R155" s="14"/>
    </row>
    <row r="156" spans="1:18" x14ac:dyDescent="0.25">
      <c r="A156" s="18" t="s">
        <v>503</v>
      </c>
      <c r="B156" s="8" t="s">
        <v>26</v>
      </c>
      <c r="C156" s="8" t="s">
        <v>504</v>
      </c>
      <c r="D156" s="8" t="s">
        <v>505</v>
      </c>
      <c r="E156" s="19">
        <v>46266</v>
      </c>
      <c r="F156" s="19">
        <v>46296</v>
      </c>
      <c r="G156" s="8">
        <v>12594.02</v>
      </c>
      <c r="H156" s="8" t="s">
        <v>15</v>
      </c>
      <c r="I156" s="8" t="s">
        <v>39</v>
      </c>
      <c r="J156" s="8" t="s">
        <v>17</v>
      </c>
      <c r="K156" s="8" t="s">
        <v>24</v>
      </c>
      <c r="L156" t="str">
        <f t="shared" si="8"/>
        <v>Unique</v>
      </c>
      <c r="M156" s="8" t="str">
        <f>IF(COUNTIF(Payments_Raw!$B:$B,A156)=0,"Unpaid",IF(N156&gt;=G156,"Paid",IF(N156&gt;0,"Partial Payment",IF(COUNTIFS(Payments_Raw!$B:$B,A156,Payments_Raw!$F:$F,"Failed")&gt;0,"Failed",IF(COUNTIFS(Payments_Raw!$B:$B,A156,Payments_Raw!$F:$F,"Pending")&gt;0,"Pending","Unpaid")))))</f>
        <v>Pending</v>
      </c>
      <c r="N156" s="8">
        <f>SUMIFS(Payments_Raw!$E:$E,Payments_Raw!$B:$B,A156,Payments_Raw!$F:$F,"Successful")</f>
        <v>0</v>
      </c>
      <c r="O156" s="26">
        <f t="shared" si="9"/>
        <v>12594.02</v>
      </c>
      <c r="P156" s="9" t="str">
        <f t="shared" si="10"/>
        <v>Pending Payment</v>
      </c>
      <c r="Q156" s="14" t="str">
        <f t="shared" si="11"/>
        <v>Overdue</v>
      </c>
      <c r="R156" s="14"/>
    </row>
    <row r="157" spans="1:18" x14ac:dyDescent="0.25">
      <c r="A157" s="18" t="s">
        <v>506</v>
      </c>
      <c r="B157" s="8" t="s">
        <v>102</v>
      </c>
      <c r="C157" s="8" t="s">
        <v>507</v>
      </c>
      <c r="D157" s="8" t="s">
        <v>508</v>
      </c>
      <c r="E157" s="19">
        <v>46281</v>
      </c>
      <c r="F157" s="19">
        <v>46326</v>
      </c>
      <c r="G157" s="8">
        <v>49766.76</v>
      </c>
      <c r="H157" s="8" t="s">
        <v>15</v>
      </c>
      <c r="I157" s="8" t="s">
        <v>16</v>
      </c>
      <c r="J157" s="8" t="s">
        <v>17</v>
      </c>
      <c r="K157" s="8" t="s">
        <v>63</v>
      </c>
      <c r="L157" t="str">
        <f t="shared" si="8"/>
        <v>Unique</v>
      </c>
      <c r="M157" s="8" t="str">
        <f>IF(COUNTIF(Payments_Raw!$B:$B,A157)=0,"Unpaid",IF(N157&gt;=G157,"Paid",IF(N157&gt;0,"Partial Payment",IF(COUNTIFS(Payments_Raw!$B:$B,A157,Payments_Raw!$F:$F,"Failed")&gt;0,"Failed",IF(COUNTIFS(Payments_Raw!$B:$B,A157,Payments_Raw!$F:$F,"Pending")&gt;0,"Pending","Unpaid")))))</f>
        <v>Paid</v>
      </c>
      <c r="N157" s="8">
        <f>SUMIFS(Payments_Raw!$E:$E,Payments_Raw!$B:$B,A157,Payments_Raw!$F:$F,"Successful")</f>
        <v>49766.76</v>
      </c>
      <c r="O157" s="26">
        <f t="shared" si="9"/>
        <v>0</v>
      </c>
      <c r="P157" s="9" t="str">
        <f t="shared" si="10"/>
        <v>No Exception</v>
      </c>
      <c r="Q157" s="14" t="str">
        <f t="shared" si="11"/>
        <v>Not Overdue</v>
      </c>
      <c r="R157" s="14"/>
    </row>
    <row r="158" spans="1:18" x14ac:dyDescent="0.25">
      <c r="A158" s="18" t="s">
        <v>509</v>
      </c>
      <c r="B158" s="8" t="s">
        <v>163</v>
      </c>
      <c r="C158" s="8" t="s">
        <v>510</v>
      </c>
      <c r="D158" s="8" t="s">
        <v>511</v>
      </c>
      <c r="E158" s="19">
        <v>46221</v>
      </c>
      <c r="F158" s="19">
        <v>46236</v>
      </c>
      <c r="G158" s="8">
        <v>10290.18</v>
      </c>
      <c r="H158" s="8" t="s">
        <v>15</v>
      </c>
      <c r="I158" s="8" t="s">
        <v>39</v>
      </c>
      <c r="J158" s="8" t="s">
        <v>17</v>
      </c>
      <c r="K158" s="8" t="s">
        <v>18</v>
      </c>
      <c r="L158" t="str">
        <f t="shared" si="8"/>
        <v>Unique</v>
      </c>
      <c r="M158" s="8" t="str">
        <f>IF(COUNTIF(Payments_Raw!$B:$B,A158)=0,"Unpaid",IF(N158&gt;=G158,"Paid",IF(N158&gt;0,"Partial Payment",IF(COUNTIFS(Payments_Raw!$B:$B,A158,Payments_Raw!$F:$F,"Failed")&gt;0,"Failed",IF(COUNTIFS(Payments_Raw!$B:$B,A158,Payments_Raw!$F:$F,"Pending")&gt;0,"Pending","Unpaid")))))</f>
        <v>Paid</v>
      </c>
      <c r="N158" s="8">
        <f>SUMIFS(Payments_Raw!$E:$E,Payments_Raw!$B:$B,A158,Payments_Raw!$F:$F,"Successful")</f>
        <v>10290.18</v>
      </c>
      <c r="O158" s="26">
        <f t="shared" si="9"/>
        <v>0</v>
      </c>
      <c r="P158" s="9" t="str">
        <f t="shared" si="10"/>
        <v>No Exception</v>
      </c>
      <c r="Q158" s="14" t="str">
        <f t="shared" si="11"/>
        <v>Not Overdue</v>
      </c>
      <c r="R158" s="14"/>
    </row>
    <row r="159" spans="1:18" x14ac:dyDescent="0.25">
      <c r="A159" s="18" t="s">
        <v>512</v>
      </c>
      <c r="B159" s="8" t="s">
        <v>26</v>
      </c>
      <c r="C159" s="8" t="s">
        <v>513</v>
      </c>
      <c r="D159" s="8" t="s">
        <v>514</v>
      </c>
      <c r="E159" s="19">
        <v>46071</v>
      </c>
      <c r="F159" s="19">
        <v>46101</v>
      </c>
      <c r="G159" s="8">
        <v>14002.12</v>
      </c>
      <c r="H159" s="8" t="s">
        <v>15</v>
      </c>
      <c r="I159" s="8" t="s">
        <v>23</v>
      </c>
      <c r="J159" s="8" t="s">
        <v>17</v>
      </c>
      <c r="K159" s="8" t="s">
        <v>24</v>
      </c>
      <c r="L159" t="str">
        <f t="shared" si="8"/>
        <v>Unique</v>
      </c>
      <c r="M159" s="8" t="str">
        <f>IF(COUNTIF(Payments_Raw!$B:$B,A159)=0,"Unpaid",IF(N159&gt;=G159,"Paid",IF(N159&gt;0,"Partial Payment",IF(COUNTIFS(Payments_Raw!$B:$B,A159,Payments_Raw!$F:$F,"Failed")&gt;0,"Failed",IF(COUNTIFS(Payments_Raw!$B:$B,A159,Payments_Raw!$F:$F,"Pending")&gt;0,"Pending","Unpaid")))))</f>
        <v>Pending</v>
      </c>
      <c r="N159" s="8">
        <f>SUMIFS(Payments_Raw!$E:$E,Payments_Raw!$B:$B,A159,Payments_Raw!$F:$F,"Successful")</f>
        <v>0</v>
      </c>
      <c r="O159" s="26">
        <f t="shared" si="9"/>
        <v>14002.12</v>
      </c>
      <c r="P159" s="9" t="str">
        <f t="shared" si="10"/>
        <v>Pending Payment</v>
      </c>
      <c r="Q159" s="14" t="str">
        <f t="shared" si="11"/>
        <v>Overdue</v>
      </c>
      <c r="R159" s="14"/>
    </row>
    <row r="160" spans="1:18" x14ac:dyDescent="0.25">
      <c r="A160" s="18" t="s">
        <v>515</v>
      </c>
      <c r="B160" s="8" t="s">
        <v>122</v>
      </c>
      <c r="C160" s="8" t="s">
        <v>516</v>
      </c>
      <c r="D160" s="8" t="s">
        <v>517</v>
      </c>
      <c r="E160" s="19">
        <v>46193</v>
      </c>
      <c r="F160" s="19">
        <v>46208</v>
      </c>
      <c r="G160" s="8">
        <v>2147.77</v>
      </c>
      <c r="H160" s="8" t="s">
        <v>15</v>
      </c>
      <c r="I160" s="8" t="s">
        <v>23</v>
      </c>
      <c r="J160" s="8" t="s">
        <v>17</v>
      </c>
      <c r="K160" s="8" t="s">
        <v>63</v>
      </c>
      <c r="L160" t="str">
        <f t="shared" si="8"/>
        <v>Unique</v>
      </c>
      <c r="M160" s="8" t="str">
        <f>IF(COUNTIF(Payments_Raw!$B:$B,A160)=0,"Unpaid",IF(N160&gt;=G160,"Paid",IF(N160&gt;0,"Partial Payment",IF(COUNTIFS(Payments_Raw!$B:$B,A160,Payments_Raw!$F:$F,"Failed")&gt;0,"Failed",IF(COUNTIFS(Payments_Raw!$B:$B,A160,Payments_Raw!$F:$F,"Pending")&gt;0,"Pending","Unpaid")))))</f>
        <v>Paid</v>
      </c>
      <c r="N160" s="8">
        <f>SUMIFS(Payments_Raw!$E:$E,Payments_Raw!$B:$B,A160,Payments_Raw!$F:$F,"Successful")</f>
        <v>2147.77</v>
      </c>
      <c r="O160" s="26">
        <f t="shared" si="9"/>
        <v>0</v>
      </c>
      <c r="P160" s="9" t="str">
        <f t="shared" si="10"/>
        <v>No Exception</v>
      </c>
      <c r="Q160" s="14" t="str">
        <f t="shared" si="11"/>
        <v>Not Overdue</v>
      </c>
      <c r="R160" s="14"/>
    </row>
    <row r="161" spans="1:18" x14ac:dyDescent="0.25">
      <c r="A161" s="18" t="s">
        <v>518</v>
      </c>
      <c r="B161" s="8" t="s">
        <v>122</v>
      </c>
      <c r="C161" s="8" t="s">
        <v>519</v>
      </c>
      <c r="D161" s="8" t="s">
        <v>520</v>
      </c>
      <c r="E161" s="19">
        <v>46066</v>
      </c>
      <c r="F161" s="19">
        <v>46081</v>
      </c>
      <c r="G161" s="8">
        <v>7822.4</v>
      </c>
      <c r="H161" s="8" t="s">
        <v>15</v>
      </c>
      <c r="I161" s="8" t="s">
        <v>29</v>
      </c>
      <c r="J161" s="8" t="s">
        <v>17</v>
      </c>
      <c r="K161" s="8" t="s">
        <v>24</v>
      </c>
      <c r="L161" t="str">
        <f t="shared" si="8"/>
        <v>Unique</v>
      </c>
      <c r="M161" s="8" t="str">
        <f>IF(COUNTIF(Payments_Raw!$B:$B,A161)=0,"Unpaid",IF(N161&gt;=G161,"Paid",IF(N161&gt;0,"Partial Payment",IF(COUNTIFS(Payments_Raw!$B:$B,A161,Payments_Raw!$F:$F,"Failed")&gt;0,"Failed",IF(COUNTIFS(Payments_Raw!$B:$B,A161,Payments_Raw!$F:$F,"Pending")&gt;0,"Pending","Unpaid")))))</f>
        <v>Paid</v>
      </c>
      <c r="N161" s="8">
        <f>SUMIFS(Payments_Raw!$E:$E,Payments_Raw!$B:$B,A161,Payments_Raw!$F:$F,"Successful")</f>
        <v>7822.4</v>
      </c>
      <c r="O161" s="26">
        <f t="shared" si="9"/>
        <v>0</v>
      </c>
      <c r="P161" s="9" t="str">
        <f t="shared" si="10"/>
        <v>No Exception</v>
      </c>
      <c r="Q161" s="14" t="str">
        <f t="shared" si="11"/>
        <v>Not Overdue</v>
      </c>
      <c r="R161" s="14"/>
    </row>
    <row r="162" spans="1:18" x14ac:dyDescent="0.25">
      <c r="A162" s="18" t="s">
        <v>521</v>
      </c>
      <c r="B162" s="8" t="s">
        <v>36</v>
      </c>
      <c r="C162" s="8" t="s">
        <v>522</v>
      </c>
      <c r="D162" s="8" t="s">
        <v>523</v>
      </c>
      <c r="E162" s="19">
        <v>46070</v>
      </c>
      <c r="F162" s="19">
        <v>46100</v>
      </c>
      <c r="G162" s="8">
        <v>16193.1</v>
      </c>
      <c r="H162" s="8" t="s">
        <v>15</v>
      </c>
      <c r="I162" s="8" t="s">
        <v>16</v>
      </c>
      <c r="J162" s="8" t="s">
        <v>17</v>
      </c>
      <c r="K162" s="8" t="s">
        <v>18</v>
      </c>
      <c r="L162" t="str">
        <f t="shared" si="8"/>
        <v>Unique</v>
      </c>
      <c r="M162" s="8" t="str">
        <f>IF(COUNTIF(Payments_Raw!$B:$B,A162)=0,"Unpaid",IF(N162&gt;=G162,"Paid",IF(N162&gt;0,"Partial Payment",IF(COUNTIFS(Payments_Raw!$B:$B,A162,Payments_Raw!$F:$F,"Failed")&gt;0,"Failed",IF(COUNTIFS(Payments_Raw!$B:$B,A162,Payments_Raw!$F:$F,"Pending")&gt;0,"Pending","Unpaid")))))</f>
        <v>Paid</v>
      </c>
      <c r="N162" s="8">
        <f>SUMIFS(Payments_Raw!$E:$E,Payments_Raw!$B:$B,A162,Payments_Raw!$F:$F,"Successful")</f>
        <v>16193.1</v>
      </c>
      <c r="O162" s="26">
        <f t="shared" si="9"/>
        <v>0</v>
      </c>
      <c r="P162" s="9" t="str">
        <f t="shared" si="10"/>
        <v>No Exception</v>
      </c>
      <c r="Q162" s="14" t="str">
        <f t="shared" si="11"/>
        <v>Not Overdue</v>
      </c>
      <c r="R162" s="14"/>
    </row>
    <row r="163" spans="1:18" x14ac:dyDescent="0.25">
      <c r="A163" s="18" t="s">
        <v>524</v>
      </c>
      <c r="B163" s="8" t="s">
        <v>26</v>
      </c>
      <c r="C163" s="8" t="s">
        <v>525</v>
      </c>
      <c r="D163" s="8" t="s">
        <v>526</v>
      </c>
      <c r="E163" s="19">
        <v>46271</v>
      </c>
      <c r="F163" s="19">
        <v>46301</v>
      </c>
      <c r="G163" s="8">
        <v>4897.09</v>
      </c>
      <c r="H163" s="8" t="s">
        <v>15</v>
      </c>
      <c r="I163" s="8" t="s">
        <v>16</v>
      </c>
      <c r="J163" s="8" t="s">
        <v>17</v>
      </c>
      <c r="K163" s="8" t="s">
        <v>24</v>
      </c>
      <c r="L163" t="str">
        <f t="shared" si="8"/>
        <v>Unique</v>
      </c>
      <c r="M163" s="8" t="str">
        <f>IF(COUNTIF(Payments_Raw!$B:$B,A163)=0,"Unpaid",IF(N163&gt;=G163,"Paid",IF(N163&gt;0,"Partial Payment",IF(COUNTIFS(Payments_Raw!$B:$B,A163,Payments_Raw!$F:$F,"Failed")&gt;0,"Failed",IF(COUNTIFS(Payments_Raw!$B:$B,A163,Payments_Raw!$F:$F,"Pending")&gt;0,"Pending","Unpaid")))))</f>
        <v>Paid</v>
      </c>
      <c r="N163" s="8">
        <f>SUMIFS(Payments_Raw!$E:$E,Payments_Raw!$B:$B,A163,Payments_Raw!$F:$F,"Successful")</f>
        <v>4897.09</v>
      </c>
      <c r="O163" s="26">
        <f t="shared" si="9"/>
        <v>0</v>
      </c>
      <c r="P163" s="9" t="str">
        <f t="shared" si="10"/>
        <v>No Exception</v>
      </c>
      <c r="Q163" s="14" t="str">
        <f t="shared" si="11"/>
        <v>Not Overdue</v>
      </c>
      <c r="R163" s="14"/>
    </row>
    <row r="164" spans="1:18" x14ac:dyDescent="0.25">
      <c r="A164" s="18" t="s">
        <v>527</v>
      </c>
      <c r="B164" s="8" t="s">
        <v>32</v>
      </c>
      <c r="C164" s="8" t="s">
        <v>528</v>
      </c>
      <c r="D164" s="8" t="s">
        <v>529</v>
      </c>
      <c r="E164" s="19">
        <v>46292</v>
      </c>
      <c r="F164" s="19">
        <v>46322</v>
      </c>
      <c r="G164" s="8">
        <v>1059.1600000000001</v>
      </c>
      <c r="H164" s="8" t="s">
        <v>15</v>
      </c>
      <c r="I164" s="8" t="s">
        <v>16</v>
      </c>
      <c r="J164" s="8" t="s">
        <v>17</v>
      </c>
      <c r="K164" s="8" t="s">
        <v>18</v>
      </c>
      <c r="L164" t="str">
        <f t="shared" si="8"/>
        <v>Unique</v>
      </c>
      <c r="M164" s="8" t="str">
        <f>IF(COUNTIF(Payments_Raw!$B:$B,A164)=0,"Unpaid",IF(N164&gt;=G164,"Paid",IF(N164&gt;0,"Partial Payment",IF(COUNTIFS(Payments_Raw!$B:$B,A164,Payments_Raw!$F:$F,"Failed")&gt;0,"Failed",IF(COUNTIFS(Payments_Raw!$B:$B,A164,Payments_Raw!$F:$F,"Pending")&gt;0,"Pending","Unpaid")))))</f>
        <v>Paid</v>
      </c>
      <c r="N164" s="8">
        <f>SUMIFS(Payments_Raw!$E:$E,Payments_Raw!$B:$B,A164,Payments_Raw!$F:$F,"Successful")</f>
        <v>1059.1600000000001</v>
      </c>
      <c r="O164" s="26">
        <f t="shared" si="9"/>
        <v>0</v>
      </c>
      <c r="P164" s="9" t="str">
        <f t="shared" si="10"/>
        <v>No Exception</v>
      </c>
      <c r="Q164" s="14" t="str">
        <f t="shared" si="11"/>
        <v>Not Overdue</v>
      </c>
      <c r="R164" s="14"/>
    </row>
    <row r="165" spans="1:18" x14ac:dyDescent="0.25">
      <c r="A165" s="18" t="s">
        <v>530</v>
      </c>
      <c r="B165" s="8" t="s">
        <v>138</v>
      </c>
      <c r="C165" s="8" t="s">
        <v>531</v>
      </c>
      <c r="D165" s="8" t="s">
        <v>532</v>
      </c>
      <c r="E165" s="19">
        <v>46107</v>
      </c>
      <c r="F165" s="19">
        <v>46152</v>
      </c>
      <c r="G165" s="8">
        <v>37750.480000000003</v>
      </c>
      <c r="H165" s="8" t="s">
        <v>15</v>
      </c>
      <c r="I165" s="8" t="s">
        <v>16</v>
      </c>
      <c r="J165" s="8" t="s">
        <v>17</v>
      </c>
      <c r="K165" s="8" t="s">
        <v>63</v>
      </c>
      <c r="L165" t="str">
        <f t="shared" si="8"/>
        <v>Unique</v>
      </c>
      <c r="M165" s="8" t="str">
        <f>IF(COUNTIF(Payments_Raw!$B:$B,A165)=0,"Unpaid",IF(N165&gt;=G165,"Paid",IF(N165&gt;0,"Partial Payment",IF(COUNTIFS(Payments_Raw!$B:$B,A165,Payments_Raw!$F:$F,"Failed")&gt;0,"Failed",IF(COUNTIFS(Payments_Raw!$B:$B,A165,Payments_Raw!$F:$F,"Pending")&gt;0,"Pending","Unpaid")))))</f>
        <v>Paid</v>
      </c>
      <c r="N165" s="8">
        <f>SUMIFS(Payments_Raw!$E:$E,Payments_Raw!$B:$B,A165,Payments_Raw!$F:$F,"Successful")</f>
        <v>37750.480000000003</v>
      </c>
      <c r="O165" s="26">
        <f t="shared" si="9"/>
        <v>0</v>
      </c>
      <c r="P165" s="9" t="str">
        <f t="shared" si="10"/>
        <v>No Exception</v>
      </c>
      <c r="Q165" s="14" t="str">
        <f t="shared" si="11"/>
        <v>Not Overdue</v>
      </c>
      <c r="R165" s="14"/>
    </row>
    <row r="166" spans="1:18" x14ac:dyDescent="0.25">
      <c r="A166" s="18" t="s">
        <v>533</v>
      </c>
      <c r="B166" s="8" t="s">
        <v>20</v>
      </c>
      <c r="C166" s="8" t="s">
        <v>534</v>
      </c>
      <c r="D166" s="8" t="s">
        <v>535</v>
      </c>
      <c r="E166" s="19">
        <v>46296</v>
      </c>
      <c r="F166" s="19">
        <v>46311</v>
      </c>
      <c r="G166" s="8">
        <v>6070.51</v>
      </c>
      <c r="H166" s="8" t="s">
        <v>15</v>
      </c>
      <c r="I166" s="8" t="s">
        <v>29</v>
      </c>
      <c r="J166" s="8" t="s">
        <v>17</v>
      </c>
      <c r="K166" s="8" t="s">
        <v>24</v>
      </c>
      <c r="L166" t="str">
        <f t="shared" si="8"/>
        <v>Unique</v>
      </c>
      <c r="M166" s="8" t="str">
        <f>IF(COUNTIF(Payments_Raw!$B:$B,A166)=0,"Unpaid",IF(N166&gt;=G166,"Paid",IF(N166&gt;0,"Partial Payment",IF(COUNTIFS(Payments_Raw!$B:$B,A166,Payments_Raw!$F:$F,"Failed")&gt;0,"Failed",IF(COUNTIFS(Payments_Raw!$B:$B,A166,Payments_Raw!$F:$F,"Pending")&gt;0,"Pending","Unpaid")))))</f>
        <v>Paid</v>
      </c>
      <c r="N166" s="8">
        <f>SUMIFS(Payments_Raw!$E:$E,Payments_Raw!$B:$B,A166,Payments_Raw!$F:$F,"Successful")</f>
        <v>6070.51</v>
      </c>
      <c r="O166" s="26">
        <f t="shared" si="9"/>
        <v>0</v>
      </c>
      <c r="P166" s="9" t="str">
        <f t="shared" si="10"/>
        <v>No Exception</v>
      </c>
      <c r="Q166" s="14" t="str">
        <f t="shared" si="11"/>
        <v>Not Overdue</v>
      </c>
      <c r="R166" s="14"/>
    </row>
    <row r="167" spans="1:18" x14ac:dyDescent="0.25">
      <c r="A167" s="18" t="s">
        <v>536</v>
      </c>
      <c r="B167" s="8" t="s">
        <v>112</v>
      </c>
      <c r="C167" s="8" t="s">
        <v>537</v>
      </c>
      <c r="D167" s="8" t="s">
        <v>538</v>
      </c>
      <c r="E167" s="19">
        <v>46259</v>
      </c>
      <c r="F167" s="19">
        <v>46274</v>
      </c>
      <c r="G167" s="8">
        <v>19263.63</v>
      </c>
      <c r="H167" s="8" t="s">
        <v>15</v>
      </c>
      <c r="I167" s="8" t="s">
        <v>16</v>
      </c>
      <c r="J167" s="8" t="s">
        <v>17</v>
      </c>
      <c r="K167" s="8" t="s">
        <v>18</v>
      </c>
      <c r="L167" t="str">
        <f t="shared" si="8"/>
        <v>Unique</v>
      </c>
      <c r="M167" s="8" t="str">
        <f>IF(COUNTIF(Payments_Raw!$B:$B,A167)=0,"Unpaid",IF(N167&gt;=G167,"Paid",IF(N167&gt;0,"Partial Payment",IF(COUNTIFS(Payments_Raw!$B:$B,A167,Payments_Raw!$F:$F,"Failed")&gt;0,"Failed",IF(COUNTIFS(Payments_Raw!$B:$B,A167,Payments_Raw!$F:$F,"Pending")&gt;0,"Pending","Unpaid")))))</f>
        <v>Paid</v>
      </c>
      <c r="N167" s="8">
        <f>SUMIFS(Payments_Raw!$E:$E,Payments_Raw!$B:$B,A167,Payments_Raw!$F:$F,"Successful")</f>
        <v>19263.63</v>
      </c>
      <c r="O167" s="26">
        <f t="shared" si="9"/>
        <v>0</v>
      </c>
      <c r="P167" s="9" t="str">
        <f t="shared" si="10"/>
        <v>No Exception</v>
      </c>
      <c r="Q167" s="14" t="str">
        <f t="shared" si="11"/>
        <v>Not Overdue</v>
      </c>
      <c r="R167" s="14"/>
    </row>
    <row r="168" spans="1:18" x14ac:dyDescent="0.25">
      <c r="A168" s="18" t="s">
        <v>539</v>
      </c>
      <c r="B168" s="8" t="s">
        <v>138</v>
      </c>
      <c r="C168" s="8" t="s">
        <v>540</v>
      </c>
      <c r="D168" s="8" t="s">
        <v>541</v>
      </c>
      <c r="E168" s="19">
        <v>46093</v>
      </c>
      <c r="F168" s="19">
        <v>46138</v>
      </c>
      <c r="G168" s="8">
        <v>41820.67</v>
      </c>
      <c r="H168" s="8" t="s">
        <v>15</v>
      </c>
      <c r="I168" s="8" t="s">
        <v>23</v>
      </c>
      <c r="J168" s="8" t="s">
        <v>17</v>
      </c>
      <c r="K168" s="8" t="s">
        <v>24</v>
      </c>
      <c r="L168" t="str">
        <f t="shared" si="8"/>
        <v>Unique</v>
      </c>
      <c r="M168" s="8" t="str">
        <f>IF(COUNTIF(Payments_Raw!$B:$B,A168)=0,"Unpaid",IF(N168&gt;=G168,"Paid",IF(N168&gt;0,"Partial Payment",IF(COUNTIFS(Payments_Raw!$B:$B,A168,Payments_Raw!$F:$F,"Failed")&gt;0,"Failed",IF(COUNTIFS(Payments_Raw!$B:$B,A168,Payments_Raw!$F:$F,"Pending")&gt;0,"Pending","Unpaid")))))</f>
        <v>Failed</v>
      </c>
      <c r="N168" s="8">
        <f>SUMIFS(Payments_Raw!$E:$E,Payments_Raw!$B:$B,A168,Payments_Raw!$F:$F,"Successful")</f>
        <v>0</v>
      </c>
      <c r="O168" s="26">
        <f t="shared" si="9"/>
        <v>41820.67</v>
      </c>
      <c r="P168" s="9" t="str">
        <f t="shared" si="10"/>
        <v>Failed Payment</v>
      </c>
      <c r="Q168" s="14" t="str">
        <f t="shared" si="11"/>
        <v>Overdue</v>
      </c>
      <c r="R168" s="14"/>
    </row>
    <row r="169" spans="1:18" x14ac:dyDescent="0.25">
      <c r="A169" s="18" t="s">
        <v>542</v>
      </c>
      <c r="B169" s="8" t="s">
        <v>45</v>
      </c>
      <c r="C169" s="8" t="s">
        <v>543</v>
      </c>
      <c r="D169" s="8" t="s">
        <v>544</v>
      </c>
      <c r="E169" s="19">
        <v>46168</v>
      </c>
      <c r="F169" s="19">
        <v>46198</v>
      </c>
      <c r="G169" s="8">
        <v>2206.81</v>
      </c>
      <c r="H169" s="8" t="s">
        <v>15</v>
      </c>
      <c r="I169" s="8" t="s">
        <v>29</v>
      </c>
      <c r="J169" s="8" t="s">
        <v>17</v>
      </c>
      <c r="K169" s="8" t="s">
        <v>18</v>
      </c>
      <c r="L169" t="str">
        <f t="shared" si="8"/>
        <v>Unique</v>
      </c>
      <c r="M169" s="8" t="str">
        <f>IF(COUNTIF(Payments_Raw!$B:$B,A169)=0,"Unpaid",IF(N169&gt;=G169,"Paid",IF(N169&gt;0,"Partial Payment",IF(COUNTIFS(Payments_Raw!$B:$B,A169,Payments_Raw!$F:$F,"Failed")&gt;0,"Failed",IF(COUNTIFS(Payments_Raw!$B:$B,A169,Payments_Raw!$F:$F,"Pending")&gt;0,"Pending","Unpaid")))))</f>
        <v>Failed</v>
      </c>
      <c r="N169" s="8">
        <f>SUMIFS(Payments_Raw!$E:$E,Payments_Raw!$B:$B,A169,Payments_Raw!$F:$F,"Successful")</f>
        <v>0</v>
      </c>
      <c r="O169" s="26">
        <f t="shared" si="9"/>
        <v>2206.81</v>
      </c>
      <c r="P169" s="9" t="str">
        <f t="shared" si="10"/>
        <v>Failed Payment</v>
      </c>
      <c r="Q169" s="14" t="str">
        <f t="shared" si="11"/>
        <v>Overdue</v>
      </c>
      <c r="R169" s="14"/>
    </row>
    <row r="170" spans="1:18" x14ac:dyDescent="0.25">
      <c r="A170" s="18" t="s">
        <v>545</v>
      </c>
      <c r="B170" s="8" t="s">
        <v>112</v>
      </c>
      <c r="C170" s="8" t="s">
        <v>546</v>
      </c>
      <c r="D170" s="8" t="s">
        <v>547</v>
      </c>
      <c r="E170" s="19">
        <v>46201</v>
      </c>
      <c r="F170" s="19">
        <v>46216</v>
      </c>
      <c r="G170" s="8">
        <v>23270.14</v>
      </c>
      <c r="H170" s="8" t="s">
        <v>15</v>
      </c>
      <c r="I170" s="8" t="s">
        <v>16</v>
      </c>
      <c r="J170" s="8" t="s">
        <v>17</v>
      </c>
      <c r="K170" s="8" t="s">
        <v>18</v>
      </c>
      <c r="L170" t="str">
        <f t="shared" si="8"/>
        <v>Unique</v>
      </c>
      <c r="M170" s="8" t="str">
        <f>IF(COUNTIF(Payments_Raw!$B:$B,A170)=0,"Unpaid",IF(N170&gt;=G170,"Paid",IF(N170&gt;0,"Partial Payment",IF(COUNTIFS(Payments_Raw!$B:$B,A170,Payments_Raw!$F:$F,"Failed")&gt;0,"Failed",IF(COUNTIFS(Payments_Raw!$B:$B,A170,Payments_Raw!$F:$F,"Pending")&gt;0,"Pending","Unpaid")))))</f>
        <v>Paid</v>
      </c>
      <c r="N170" s="8">
        <f>SUMIFS(Payments_Raw!$E:$E,Payments_Raw!$B:$B,A170,Payments_Raw!$F:$F,"Successful")</f>
        <v>23270.14</v>
      </c>
      <c r="O170" s="26">
        <f t="shared" si="9"/>
        <v>0</v>
      </c>
      <c r="P170" s="9" t="str">
        <f t="shared" si="10"/>
        <v>No Exception</v>
      </c>
      <c r="Q170" s="14" t="str">
        <f t="shared" si="11"/>
        <v>Not Overdue</v>
      </c>
      <c r="R170" s="14"/>
    </row>
    <row r="171" spans="1:18" x14ac:dyDescent="0.25">
      <c r="A171" s="18" t="s">
        <v>548</v>
      </c>
      <c r="B171" s="8" t="s">
        <v>57</v>
      </c>
      <c r="C171" s="8" t="s">
        <v>549</v>
      </c>
      <c r="D171" s="8" t="s">
        <v>550</v>
      </c>
      <c r="E171" s="19">
        <v>46137</v>
      </c>
      <c r="F171" s="19">
        <v>46182</v>
      </c>
      <c r="G171" s="8">
        <v>821.31</v>
      </c>
      <c r="H171" s="8" t="s">
        <v>15</v>
      </c>
      <c r="I171" s="8" t="s">
        <v>39</v>
      </c>
      <c r="J171" s="8" t="s">
        <v>30</v>
      </c>
      <c r="K171" s="8" t="s">
        <v>63</v>
      </c>
      <c r="L171" t="str">
        <f t="shared" si="8"/>
        <v>Duplicate</v>
      </c>
      <c r="M171" s="8" t="str">
        <f>IF(COUNTIF(Payments_Raw!$B:$B,A171)=0,"Unpaid",IF(N171&gt;=G171,"Paid",IF(N171&gt;0,"Partial Payment",IF(COUNTIFS(Payments_Raw!$B:$B,A171,Payments_Raw!$F:$F,"Failed")&gt;0,"Failed",IF(COUNTIFS(Payments_Raw!$B:$B,A171,Payments_Raw!$F:$F,"Pending")&gt;0,"Pending","Unpaid")))))</f>
        <v>Pending</v>
      </c>
      <c r="N171" s="8">
        <f>SUMIFS(Payments_Raw!$E:$E,Payments_Raw!$B:$B,A171,Payments_Raw!$F:$F,"Successful")</f>
        <v>0</v>
      </c>
      <c r="O171" s="26">
        <f t="shared" si="9"/>
        <v>821.31</v>
      </c>
      <c r="P171" s="9" t="str">
        <f t="shared" si="10"/>
        <v>Duplicate Invoice</v>
      </c>
      <c r="Q171" s="14" t="str">
        <f t="shared" si="11"/>
        <v>Overdue</v>
      </c>
      <c r="R171" s="14"/>
    </row>
    <row r="172" spans="1:18" x14ac:dyDescent="0.25">
      <c r="A172" s="18" t="s">
        <v>551</v>
      </c>
      <c r="B172" s="8" t="s">
        <v>75</v>
      </c>
      <c r="C172" s="8" t="s">
        <v>552</v>
      </c>
      <c r="D172" s="8" t="s">
        <v>553</v>
      </c>
      <c r="E172" s="19">
        <v>46094</v>
      </c>
      <c r="F172" s="19">
        <v>46109</v>
      </c>
      <c r="G172" s="8">
        <v>18999.97</v>
      </c>
      <c r="H172" s="8" t="s">
        <v>15</v>
      </c>
      <c r="I172" s="8" t="s">
        <v>23</v>
      </c>
      <c r="J172" s="8" t="s">
        <v>30</v>
      </c>
      <c r="K172" s="8" t="s">
        <v>18</v>
      </c>
      <c r="L172" t="str">
        <f t="shared" si="8"/>
        <v>Unique</v>
      </c>
      <c r="M172" s="8" t="str">
        <f>IF(COUNTIF(Payments_Raw!$B:$B,A172)=0,"Unpaid",IF(N172&gt;=G172,"Paid",IF(N172&gt;0,"Partial Payment",IF(COUNTIFS(Payments_Raw!$B:$B,A172,Payments_Raw!$F:$F,"Failed")&gt;0,"Failed",IF(COUNTIFS(Payments_Raw!$B:$B,A172,Payments_Raw!$F:$F,"Pending")&gt;0,"Pending","Unpaid")))))</f>
        <v>Paid</v>
      </c>
      <c r="N172" s="8">
        <f>SUMIFS(Payments_Raw!$E:$E,Payments_Raw!$B:$B,A172,Payments_Raw!$F:$F,"Successful")</f>
        <v>18999.97</v>
      </c>
      <c r="O172" s="26">
        <f t="shared" si="9"/>
        <v>0</v>
      </c>
      <c r="P172" s="9" t="str">
        <f t="shared" si="10"/>
        <v>No Exception</v>
      </c>
      <c r="Q172" s="14" t="str">
        <f t="shared" si="11"/>
        <v>Not Overdue</v>
      </c>
      <c r="R172" s="14"/>
    </row>
    <row r="173" spans="1:18" x14ac:dyDescent="0.25">
      <c r="A173" s="18" t="s">
        <v>554</v>
      </c>
      <c r="B173" s="8" t="s">
        <v>122</v>
      </c>
      <c r="C173" s="8" t="s">
        <v>555</v>
      </c>
      <c r="D173" s="8" t="s">
        <v>556</v>
      </c>
      <c r="E173" s="19">
        <v>46303</v>
      </c>
      <c r="F173" s="19">
        <v>46318</v>
      </c>
      <c r="G173" s="8">
        <v>23512.82</v>
      </c>
      <c r="H173" s="8" t="s">
        <v>15</v>
      </c>
      <c r="I173" s="8" t="s">
        <v>39</v>
      </c>
      <c r="J173" s="8" t="s">
        <v>17</v>
      </c>
      <c r="K173" s="8" t="s">
        <v>18</v>
      </c>
      <c r="L173" t="str">
        <f t="shared" si="8"/>
        <v>Unique</v>
      </c>
      <c r="M173" s="8" t="str">
        <f>IF(COUNTIF(Payments_Raw!$B:$B,A173)=0,"Unpaid",IF(N173&gt;=G173,"Paid",IF(N173&gt;0,"Partial Payment",IF(COUNTIFS(Payments_Raw!$B:$B,A173,Payments_Raw!$F:$F,"Failed")&gt;0,"Failed",IF(COUNTIFS(Payments_Raw!$B:$B,A173,Payments_Raw!$F:$F,"Pending")&gt;0,"Pending","Unpaid")))))</f>
        <v>Unpaid</v>
      </c>
      <c r="N173" s="8">
        <f>SUMIFS(Payments_Raw!$E:$E,Payments_Raw!$B:$B,A173,Payments_Raw!$F:$F,"Successful")</f>
        <v>0</v>
      </c>
      <c r="O173" s="26">
        <f t="shared" si="9"/>
        <v>23512.82</v>
      </c>
      <c r="P173" s="9" t="str">
        <f t="shared" si="10"/>
        <v>Unpaid Invoice</v>
      </c>
      <c r="Q173" s="14" t="str">
        <f t="shared" si="11"/>
        <v>Overdue</v>
      </c>
      <c r="R173" s="14"/>
    </row>
    <row r="174" spans="1:18" x14ac:dyDescent="0.25">
      <c r="A174" s="18" t="s">
        <v>557</v>
      </c>
      <c r="B174" s="8" t="s">
        <v>89</v>
      </c>
      <c r="C174" s="8" t="s">
        <v>558</v>
      </c>
      <c r="D174" s="8" t="s">
        <v>559</v>
      </c>
      <c r="E174" s="19">
        <v>46145</v>
      </c>
      <c r="F174" s="19">
        <v>46160</v>
      </c>
      <c r="G174" s="8">
        <v>10565.26</v>
      </c>
      <c r="H174" s="8" t="s">
        <v>15</v>
      </c>
      <c r="I174" s="8" t="s">
        <v>29</v>
      </c>
      <c r="J174" s="8" t="s">
        <v>17</v>
      </c>
      <c r="K174" s="8" t="s">
        <v>24</v>
      </c>
      <c r="L174" t="str">
        <f t="shared" si="8"/>
        <v>Unique</v>
      </c>
      <c r="M174" s="8" t="str">
        <f>IF(COUNTIF(Payments_Raw!$B:$B,A174)=0,"Unpaid",IF(N174&gt;=G174,"Paid",IF(N174&gt;0,"Partial Payment",IF(COUNTIFS(Payments_Raw!$B:$B,A174,Payments_Raw!$F:$F,"Failed")&gt;0,"Failed",IF(COUNTIFS(Payments_Raw!$B:$B,A174,Payments_Raw!$F:$F,"Pending")&gt;0,"Pending","Unpaid")))))</f>
        <v>Paid</v>
      </c>
      <c r="N174" s="8">
        <f>SUMIFS(Payments_Raw!$E:$E,Payments_Raw!$B:$B,A174,Payments_Raw!$F:$F,"Successful")</f>
        <v>10565.26</v>
      </c>
      <c r="O174" s="26">
        <f t="shared" si="9"/>
        <v>0</v>
      </c>
      <c r="P174" s="9" t="str">
        <f t="shared" si="10"/>
        <v>No Exception</v>
      </c>
      <c r="Q174" s="14" t="str">
        <f t="shared" si="11"/>
        <v>Not Overdue</v>
      </c>
      <c r="R174" s="14"/>
    </row>
    <row r="175" spans="1:18" x14ac:dyDescent="0.25">
      <c r="A175" s="18" t="s">
        <v>560</v>
      </c>
      <c r="B175" s="8" t="s">
        <v>32</v>
      </c>
      <c r="C175" s="8" t="s">
        <v>561</v>
      </c>
      <c r="D175" s="8" t="s">
        <v>562</v>
      </c>
      <c r="E175" s="19">
        <v>46031</v>
      </c>
      <c r="F175" s="19">
        <v>46061</v>
      </c>
      <c r="G175" s="8">
        <v>15843.04</v>
      </c>
      <c r="H175" s="8" t="s">
        <v>15</v>
      </c>
      <c r="I175" s="8" t="s">
        <v>16</v>
      </c>
      <c r="J175" s="8" t="s">
        <v>17</v>
      </c>
      <c r="K175" s="8" t="s">
        <v>18</v>
      </c>
      <c r="L175" t="str">
        <f t="shared" si="8"/>
        <v>Unique</v>
      </c>
      <c r="M175" s="8" t="str">
        <f>IF(COUNTIF(Payments_Raw!$B:$B,A175)=0,"Unpaid",IF(N175&gt;=G175,"Paid",IF(N175&gt;0,"Partial Payment",IF(COUNTIFS(Payments_Raw!$B:$B,A175,Payments_Raw!$F:$F,"Failed")&gt;0,"Failed",IF(COUNTIFS(Payments_Raw!$B:$B,A175,Payments_Raw!$F:$F,"Pending")&gt;0,"Pending","Unpaid")))))</f>
        <v>Pending</v>
      </c>
      <c r="N175" s="8">
        <f>SUMIFS(Payments_Raw!$E:$E,Payments_Raw!$B:$B,A175,Payments_Raw!$F:$F,"Successful")</f>
        <v>0</v>
      </c>
      <c r="O175" s="26">
        <f t="shared" si="9"/>
        <v>15843.04</v>
      </c>
      <c r="P175" s="9" t="str">
        <f t="shared" si="10"/>
        <v>Pending Payment</v>
      </c>
      <c r="Q175" s="14" t="str">
        <f t="shared" si="11"/>
        <v>Overdue</v>
      </c>
      <c r="R175" s="14"/>
    </row>
    <row r="176" spans="1:18" x14ac:dyDescent="0.25">
      <c r="A176" s="18" t="s">
        <v>563</v>
      </c>
      <c r="B176" s="8" t="s">
        <v>170</v>
      </c>
      <c r="C176" s="8" t="s">
        <v>564</v>
      </c>
      <c r="D176" s="8" t="s">
        <v>565</v>
      </c>
      <c r="E176" s="19">
        <v>46236</v>
      </c>
      <c r="F176" s="19">
        <v>46266</v>
      </c>
      <c r="G176" s="8">
        <v>4780.37</v>
      </c>
      <c r="H176" s="8" t="s">
        <v>15</v>
      </c>
      <c r="I176" s="8" t="s">
        <v>29</v>
      </c>
      <c r="J176" s="8" t="s">
        <v>17</v>
      </c>
      <c r="K176" s="8" t="s">
        <v>24</v>
      </c>
      <c r="L176" t="str">
        <f t="shared" si="8"/>
        <v>Unique</v>
      </c>
      <c r="M176" s="8" t="str">
        <f>IF(COUNTIF(Payments_Raw!$B:$B,A176)=0,"Unpaid",IF(N176&gt;=G176,"Paid",IF(N176&gt;0,"Partial Payment",IF(COUNTIFS(Payments_Raw!$B:$B,A176,Payments_Raw!$F:$F,"Failed")&gt;0,"Failed",IF(COUNTIFS(Payments_Raw!$B:$B,A176,Payments_Raw!$F:$F,"Pending")&gt;0,"Pending","Unpaid")))))</f>
        <v>Unpaid</v>
      </c>
      <c r="N176" s="8">
        <f>SUMIFS(Payments_Raw!$E:$E,Payments_Raw!$B:$B,A176,Payments_Raw!$F:$F,"Successful")</f>
        <v>0</v>
      </c>
      <c r="O176" s="26">
        <f t="shared" si="9"/>
        <v>4780.37</v>
      </c>
      <c r="P176" s="9" t="str">
        <f t="shared" si="10"/>
        <v>Unpaid Invoice</v>
      </c>
      <c r="Q176" s="14" t="str">
        <f t="shared" si="11"/>
        <v>Overdue</v>
      </c>
      <c r="R176" s="14"/>
    </row>
    <row r="177" spans="1:18" x14ac:dyDescent="0.25">
      <c r="A177" s="18" t="s">
        <v>566</v>
      </c>
      <c r="B177" s="8" t="s">
        <v>36</v>
      </c>
      <c r="C177" s="8" t="s">
        <v>567</v>
      </c>
      <c r="D177" s="8" t="s">
        <v>568</v>
      </c>
      <c r="E177" s="19">
        <v>46306</v>
      </c>
      <c r="F177" s="19">
        <v>46336</v>
      </c>
      <c r="G177" s="8">
        <v>625.91999999999996</v>
      </c>
      <c r="H177" s="8" t="s">
        <v>15</v>
      </c>
      <c r="I177" s="8" t="s">
        <v>16</v>
      </c>
      <c r="J177" s="8" t="s">
        <v>17</v>
      </c>
      <c r="K177" s="8" t="s">
        <v>24</v>
      </c>
      <c r="L177" t="str">
        <f t="shared" si="8"/>
        <v>Unique</v>
      </c>
      <c r="M177" s="8" t="str">
        <f>IF(COUNTIF(Payments_Raw!$B:$B,A177)=0,"Unpaid",IF(N177&gt;=G177,"Paid",IF(N177&gt;0,"Partial Payment",IF(COUNTIFS(Payments_Raw!$B:$B,A177,Payments_Raw!$F:$F,"Failed")&gt;0,"Failed",IF(COUNTIFS(Payments_Raw!$B:$B,A177,Payments_Raw!$F:$F,"Pending")&gt;0,"Pending","Unpaid")))))</f>
        <v>Paid</v>
      </c>
      <c r="N177" s="8">
        <f>SUMIFS(Payments_Raw!$E:$E,Payments_Raw!$B:$B,A177,Payments_Raw!$F:$F,"Successful")</f>
        <v>625.91999999999996</v>
      </c>
      <c r="O177" s="26">
        <f t="shared" si="9"/>
        <v>0</v>
      </c>
      <c r="P177" s="9" t="str">
        <f t="shared" si="10"/>
        <v>No Exception</v>
      </c>
      <c r="Q177" s="14" t="str">
        <f t="shared" si="11"/>
        <v>Not Overdue</v>
      </c>
      <c r="R177" s="14"/>
    </row>
    <row r="178" spans="1:18" x14ac:dyDescent="0.25">
      <c r="A178" s="18" t="s">
        <v>569</v>
      </c>
      <c r="B178" s="8" t="s">
        <v>71</v>
      </c>
      <c r="C178" s="8" t="s">
        <v>570</v>
      </c>
      <c r="D178" s="8" t="s">
        <v>571</v>
      </c>
      <c r="E178" s="19">
        <v>46205</v>
      </c>
      <c r="F178" s="19">
        <v>46220</v>
      </c>
      <c r="G178" s="8">
        <v>19738.38</v>
      </c>
      <c r="H178" s="8" t="s">
        <v>15</v>
      </c>
      <c r="I178" s="8" t="s">
        <v>29</v>
      </c>
      <c r="J178" s="8" t="s">
        <v>17</v>
      </c>
      <c r="K178" s="8" t="s">
        <v>63</v>
      </c>
      <c r="L178" t="str">
        <f t="shared" si="8"/>
        <v>Unique</v>
      </c>
      <c r="M178" s="8" t="str">
        <f>IF(COUNTIF(Payments_Raw!$B:$B,A178)=0,"Unpaid",IF(N178&gt;=G178,"Paid",IF(N178&gt;0,"Partial Payment",IF(COUNTIFS(Payments_Raw!$B:$B,A178,Payments_Raw!$F:$F,"Failed")&gt;0,"Failed",IF(COUNTIFS(Payments_Raw!$B:$B,A178,Payments_Raw!$F:$F,"Pending")&gt;0,"Pending","Unpaid")))))</f>
        <v>Paid</v>
      </c>
      <c r="N178" s="8">
        <f>SUMIFS(Payments_Raw!$E:$E,Payments_Raw!$B:$B,A178,Payments_Raw!$F:$F,"Successful")</f>
        <v>19738.38</v>
      </c>
      <c r="O178" s="26">
        <f t="shared" si="9"/>
        <v>0</v>
      </c>
      <c r="P178" s="9" t="str">
        <f t="shared" si="10"/>
        <v>No Exception</v>
      </c>
      <c r="Q178" s="14" t="str">
        <f t="shared" si="11"/>
        <v>Not Overdue</v>
      </c>
      <c r="R178" s="14"/>
    </row>
    <row r="179" spans="1:18" x14ac:dyDescent="0.25">
      <c r="A179" s="18" t="s">
        <v>572</v>
      </c>
      <c r="B179" s="8" t="s">
        <v>122</v>
      </c>
      <c r="C179" s="8" t="s">
        <v>573</v>
      </c>
      <c r="D179" s="8" t="s">
        <v>574</v>
      </c>
      <c r="E179" s="19">
        <v>46045</v>
      </c>
      <c r="F179" s="19">
        <v>46060</v>
      </c>
      <c r="G179" s="8">
        <v>8885.2000000000007</v>
      </c>
      <c r="H179" s="8" t="s">
        <v>15</v>
      </c>
      <c r="I179" s="8" t="s">
        <v>39</v>
      </c>
      <c r="J179" s="8" t="s">
        <v>17</v>
      </c>
      <c r="K179" s="8" t="s">
        <v>24</v>
      </c>
      <c r="L179" t="str">
        <f t="shared" si="8"/>
        <v>Unique</v>
      </c>
      <c r="M179" s="8" t="str">
        <f>IF(COUNTIF(Payments_Raw!$B:$B,A179)=0,"Unpaid",IF(N179&gt;=G179,"Paid",IF(N179&gt;0,"Partial Payment",IF(COUNTIFS(Payments_Raw!$B:$B,A179,Payments_Raw!$F:$F,"Failed")&gt;0,"Failed",IF(COUNTIFS(Payments_Raw!$B:$B,A179,Payments_Raw!$F:$F,"Pending")&gt;0,"Pending","Unpaid")))))</f>
        <v>Paid</v>
      </c>
      <c r="N179" s="8">
        <f>SUMIFS(Payments_Raw!$E:$E,Payments_Raw!$B:$B,A179,Payments_Raw!$F:$F,"Successful")</f>
        <v>8885.2000000000007</v>
      </c>
      <c r="O179" s="26">
        <f t="shared" si="9"/>
        <v>0</v>
      </c>
      <c r="P179" s="9" t="str">
        <f t="shared" si="10"/>
        <v>No Exception</v>
      </c>
      <c r="Q179" s="14" t="str">
        <f t="shared" si="11"/>
        <v>Not Overdue</v>
      </c>
      <c r="R179" s="14"/>
    </row>
    <row r="180" spans="1:18" x14ac:dyDescent="0.25">
      <c r="A180" s="18" t="s">
        <v>575</v>
      </c>
      <c r="B180" s="8" t="s">
        <v>75</v>
      </c>
      <c r="C180" s="8" t="s">
        <v>576</v>
      </c>
      <c r="D180" s="8" t="s">
        <v>577</v>
      </c>
      <c r="E180" s="19">
        <v>46116</v>
      </c>
      <c r="F180" s="19">
        <v>46131</v>
      </c>
      <c r="G180" s="8">
        <v>52166.66</v>
      </c>
      <c r="H180" s="8" t="s">
        <v>15</v>
      </c>
      <c r="I180" s="8" t="s">
        <v>16</v>
      </c>
      <c r="J180" s="8" t="s">
        <v>30</v>
      </c>
      <c r="K180" s="8" t="s">
        <v>18</v>
      </c>
      <c r="L180" t="str">
        <f t="shared" si="8"/>
        <v>Unique</v>
      </c>
      <c r="M180" s="8" t="str">
        <f>IF(COUNTIF(Payments_Raw!$B:$B,A180)=0,"Unpaid",IF(N180&gt;=G180,"Paid",IF(N180&gt;0,"Partial Payment",IF(COUNTIFS(Payments_Raw!$B:$B,A180,Payments_Raw!$F:$F,"Failed")&gt;0,"Failed",IF(COUNTIFS(Payments_Raw!$B:$B,A180,Payments_Raw!$F:$F,"Pending")&gt;0,"Pending","Unpaid")))))</f>
        <v>Paid</v>
      </c>
      <c r="N180" s="8">
        <f>SUMIFS(Payments_Raw!$E:$E,Payments_Raw!$B:$B,A180,Payments_Raw!$F:$F,"Successful")</f>
        <v>52166.66</v>
      </c>
      <c r="O180" s="26">
        <f t="shared" si="9"/>
        <v>0</v>
      </c>
      <c r="P180" s="9" t="str">
        <f t="shared" si="10"/>
        <v>No Exception</v>
      </c>
      <c r="Q180" s="14" t="str">
        <f t="shared" si="11"/>
        <v>Not Overdue</v>
      </c>
      <c r="R180" s="14"/>
    </row>
    <row r="181" spans="1:18" x14ac:dyDescent="0.25">
      <c r="A181" s="18" t="s">
        <v>578</v>
      </c>
      <c r="B181" s="8" t="s">
        <v>89</v>
      </c>
      <c r="C181" s="8" t="s">
        <v>579</v>
      </c>
      <c r="D181" s="8" t="s">
        <v>580</v>
      </c>
      <c r="E181" s="19">
        <v>46184</v>
      </c>
      <c r="F181" s="19">
        <v>46199</v>
      </c>
      <c r="G181" s="8">
        <v>23342.27</v>
      </c>
      <c r="H181" s="8" t="s">
        <v>15</v>
      </c>
      <c r="I181" s="8" t="s">
        <v>16</v>
      </c>
      <c r="J181" s="8" t="s">
        <v>17</v>
      </c>
      <c r="K181" s="8" t="s">
        <v>18</v>
      </c>
      <c r="L181" t="str">
        <f t="shared" si="8"/>
        <v>Unique</v>
      </c>
      <c r="M181" s="8" t="str">
        <f>IF(COUNTIF(Payments_Raw!$B:$B,A181)=0,"Unpaid",IF(N181&gt;=G181,"Paid",IF(N181&gt;0,"Partial Payment",IF(COUNTIFS(Payments_Raw!$B:$B,A181,Payments_Raw!$F:$F,"Failed")&gt;0,"Failed",IF(COUNTIFS(Payments_Raw!$B:$B,A181,Payments_Raw!$F:$F,"Pending")&gt;0,"Pending","Unpaid")))))</f>
        <v>Unpaid</v>
      </c>
      <c r="N181" s="8">
        <f>SUMIFS(Payments_Raw!$E:$E,Payments_Raw!$B:$B,A181,Payments_Raw!$F:$F,"Successful")</f>
        <v>0</v>
      </c>
      <c r="O181" s="26">
        <f t="shared" si="9"/>
        <v>23342.27</v>
      </c>
      <c r="P181" s="9" t="str">
        <f t="shared" si="10"/>
        <v>Unpaid Invoice</v>
      </c>
      <c r="Q181" s="14" t="str">
        <f t="shared" si="11"/>
        <v>Overdue</v>
      </c>
      <c r="R181" s="14"/>
    </row>
    <row r="182" spans="1:18" x14ac:dyDescent="0.25">
      <c r="A182" s="18" t="s">
        <v>581</v>
      </c>
      <c r="B182" s="8" t="s">
        <v>163</v>
      </c>
      <c r="C182" s="8" t="s">
        <v>582</v>
      </c>
      <c r="D182" s="8" t="s">
        <v>583</v>
      </c>
      <c r="E182" s="19">
        <v>46205</v>
      </c>
      <c r="F182" s="19">
        <v>46220</v>
      </c>
      <c r="G182" s="8">
        <v>47950.6</v>
      </c>
      <c r="H182" s="8" t="s">
        <v>15</v>
      </c>
      <c r="I182" s="8" t="s">
        <v>39</v>
      </c>
      <c r="J182" s="8" t="s">
        <v>17</v>
      </c>
      <c r="K182" s="8" t="s">
        <v>63</v>
      </c>
      <c r="L182" t="str">
        <f t="shared" si="8"/>
        <v>Unique</v>
      </c>
      <c r="M182" s="8" t="str">
        <f>IF(COUNTIF(Payments_Raw!$B:$B,A182)=0,"Unpaid",IF(N182&gt;=G182,"Paid",IF(N182&gt;0,"Partial Payment",IF(COUNTIFS(Payments_Raw!$B:$B,A182,Payments_Raw!$F:$F,"Failed")&gt;0,"Failed",IF(COUNTIFS(Payments_Raw!$B:$B,A182,Payments_Raw!$F:$F,"Pending")&gt;0,"Pending","Unpaid")))))</f>
        <v>Paid</v>
      </c>
      <c r="N182" s="8">
        <f>SUMIFS(Payments_Raw!$E:$E,Payments_Raw!$B:$B,A182,Payments_Raw!$F:$F,"Successful")</f>
        <v>47950.6</v>
      </c>
      <c r="O182" s="26">
        <f t="shared" si="9"/>
        <v>0</v>
      </c>
      <c r="P182" s="9" t="str">
        <f t="shared" si="10"/>
        <v>No Exception</v>
      </c>
      <c r="Q182" s="14" t="str">
        <f t="shared" si="11"/>
        <v>Not Overdue</v>
      </c>
      <c r="R182" s="14"/>
    </row>
    <row r="183" spans="1:18" x14ac:dyDescent="0.25">
      <c r="A183" s="18" t="s">
        <v>584</v>
      </c>
      <c r="B183" s="8" t="s">
        <v>112</v>
      </c>
      <c r="C183" s="8" t="s">
        <v>585</v>
      </c>
      <c r="D183" s="8" t="s">
        <v>586</v>
      </c>
      <c r="E183" s="19">
        <v>46220</v>
      </c>
      <c r="F183" s="19">
        <v>46235</v>
      </c>
      <c r="G183" s="8">
        <v>8555.23</v>
      </c>
      <c r="H183" s="8" t="s">
        <v>15</v>
      </c>
      <c r="I183" s="8" t="s">
        <v>23</v>
      </c>
      <c r="J183" s="8" t="s">
        <v>17</v>
      </c>
      <c r="K183" s="8" t="s">
        <v>18</v>
      </c>
      <c r="L183" t="str">
        <f t="shared" si="8"/>
        <v>Unique</v>
      </c>
      <c r="M183" s="8" t="str">
        <f>IF(COUNTIF(Payments_Raw!$B:$B,A183)=0,"Unpaid",IF(N183&gt;=G183,"Paid",IF(N183&gt;0,"Partial Payment",IF(COUNTIFS(Payments_Raw!$B:$B,A183,Payments_Raw!$F:$F,"Failed")&gt;0,"Failed",IF(COUNTIFS(Payments_Raw!$B:$B,A183,Payments_Raw!$F:$F,"Pending")&gt;0,"Pending","Unpaid")))))</f>
        <v>Pending</v>
      </c>
      <c r="N183" s="8">
        <f>SUMIFS(Payments_Raw!$E:$E,Payments_Raw!$B:$B,A183,Payments_Raw!$F:$F,"Successful")</f>
        <v>0</v>
      </c>
      <c r="O183" s="26">
        <f t="shared" si="9"/>
        <v>8555.23</v>
      </c>
      <c r="P183" s="9" t="str">
        <f t="shared" si="10"/>
        <v>Pending Payment</v>
      </c>
      <c r="Q183" s="14" t="str">
        <f t="shared" si="11"/>
        <v>Overdue</v>
      </c>
      <c r="R183" s="14"/>
    </row>
    <row r="184" spans="1:18" x14ac:dyDescent="0.25">
      <c r="A184" s="18" t="s">
        <v>587</v>
      </c>
      <c r="B184" s="8" t="s">
        <v>85</v>
      </c>
      <c r="C184" s="8" t="s">
        <v>588</v>
      </c>
      <c r="D184" s="8" t="s">
        <v>589</v>
      </c>
      <c r="E184" s="19">
        <v>46063</v>
      </c>
      <c r="F184" s="19">
        <v>46108</v>
      </c>
      <c r="G184" s="8">
        <v>10833.51</v>
      </c>
      <c r="H184" s="8" t="s">
        <v>15</v>
      </c>
      <c r="I184" s="8" t="s">
        <v>16</v>
      </c>
      <c r="J184" s="8" t="s">
        <v>30</v>
      </c>
      <c r="K184" s="8" t="s">
        <v>63</v>
      </c>
      <c r="L184" t="str">
        <f t="shared" si="8"/>
        <v>Unique</v>
      </c>
      <c r="M184" s="8" t="str">
        <f>IF(COUNTIF(Payments_Raw!$B:$B,A184)=0,"Unpaid",IF(N184&gt;=G184,"Paid",IF(N184&gt;0,"Partial Payment",IF(COUNTIFS(Payments_Raw!$B:$B,A184,Payments_Raw!$F:$F,"Failed")&gt;0,"Failed",IF(COUNTIFS(Payments_Raw!$B:$B,A184,Payments_Raw!$F:$F,"Pending")&gt;0,"Pending","Unpaid")))))</f>
        <v>Paid</v>
      </c>
      <c r="N184" s="8">
        <f>SUMIFS(Payments_Raw!$E:$E,Payments_Raw!$B:$B,A184,Payments_Raw!$F:$F,"Successful")</f>
        <v>10833.51</v>
      </c>
      <c r="O184" s="26">
        <f t="shared" si="9"/>
        <v>0</v>
      </c>
      <c r="P184" s="9" t="str">
        <f t="shared" si="10"/>
        <v>No Exception</v>
      </c>
      <c r="Q184" s="14" t="str">
        <f t="shared" si="11"/>
        <v>Not Overdue</v>
      </c>
      <c r="R184" s="14"/>
    </row>
    <row r="185" spans="1:18" x14ac:dyDescent="0.25">
      <c r="A185" s="18" t="s">
        <v>590</v>
      </c>
      <c r="B185" s="8" t="s">
        <v>163</v>
      </c>
      <c r="C185" s="8" t="s">
        <v>591</v>
      </c>
      <c r="D185" s="8" t="s">
        <v>592</v>
      </c>
      <c r="E185" s="19">
        <v>46179</v>
      </c>
      <c r="F185" s="19">
        <v>46194</v>
      </c>
      <c r="G185" s="8">
        <v>11214.38</v>
      </c>
      <c r="H185" s="8" t="s">
        <v>15</v>
      </c>
      <c r="I185" s="8" t="s">
        <v>16</v>
      </c>
      <c r="J185" s="8" t="s">
        <v>17</v>
      </c>
      <c r="K185" s="8" t="s">
        <v>24</v>
      </c>
      <c r="L185" t="str">
        <f t="shared" si="8"/>
        <v>Unique</v>
      </c>
      <c r="M185" s="8" t="str">
        <f>IF(COUNTIF(Payments_Raw!$B:$B,A185)=0,"Unpaid",IF(N185&gt;=G185,"Paid",IF(N185&gt;0,"Partial Payment",IF(COUNTIFS(Payments_Raw!$B:$B,A185,Payments_Raw!$F:$F,"Failed")&gt;0,"Failed",IF(COUNTIFS(Payments_Raw!$B:$B,A185,Payments_Raw!$F:$F,"Pending")&gt;0,"Pending","Unpaid")))))</f>
        <v>Paid</v>
      </c>
      <c r="N185" s="8">
        <f>SUMIFS(Payments_Raw!$E:$E,Payments_Raw!$B:$B,A185,Payments_Raw!$F:$F,"Successful")</f>
        <v>11214.38</v>
      </c>
      <c r="O185" s="26">
        <f t="shared" si="9"/>
        <v>0</v>
      </c>
      <c r="P185" s="9" t="str">
        <f t="shared" si="10"/>
        <v>No Exception</v>
      </c>
      <c r="Q185" s="14" t="str">
        <f t="shared" si="11"/>
        <v>Not Overdue</v>
      </c>
      <c r="R185" s="14"/>
    </row>
    <row r="186" spans="1:18" x14ac:dyDescent="0.25">
      <c r="A186" s="18" t="s">
        <v>593</v>
      </c>
      <c r="B186" s="8" t="s">
        <v>57</v>
      </c>
      <c r="C186" s="8" t="s">
        <v>594</v>
      </c>
      <c r="D186" s="8" t="s">
        <v>595</v>
      </c>
      <c r="E186" s="19">
        <v>46245</v>
      </c>
      <c r="F186" s="19">
        <v>46290</v>
      </c>
      <c r="G186" s="8">
        <v>6950.94</v>
      </c>
      <c r="H186" s="8" t="s">
        <v>15</v>
      </c>
      <c r="I186" s="8" t="s">
        <v>16</v>
      </c>
      <c r="J186" s="8" t="s">
        <v>17</v>
      </c>
      <c r="K186" s="8" t="s">
        <v>24</v>
      </c>
      <c r="L186" t="str">
        <f t="shared" si="8"/>
        <v>Unique</v>
      </c>
      <c r="M186" s="8" t="str">
        <f>IF(COUNTIF(Payments_Raw!$B:$B,A186)=0,"Unpaid",IF(N186&gt;=G186,"Paid",IF(N186&gt;0,"Partial Payment",IF(COUNTIFS(Payments_Raw!$B:$B,A186,Payments_Raw!$F:$F,"Failed")&gt;0,"Failed",IF(COUNTIFS(Payments_Raw!$B:$B,A186,Payments_Raw!$F:$F,"Pending")&gt;0,"Pending","Unpaid")))))</f>
        <v>Paid</v>
      </c>
      <c r="N186" s="8">
        <f>SUMIFS(Payments_Raw!$E:$E,Payments_Raw!$B:$B,A186,Payments_Raw!$F:$F,"Successful")</f>
        <v>6950.94</v>
      </c>
      <c r="O186" s="26">
        <f t="shared" si="9"/>
        <v>0</v>
      </c>
      <c r="P186" s="9" t="str">
        <f t="shared" si="10"/>
        <v>No Exception</v>
      </c>
      <c r="Q186" s="14" t="str">
        <f t="shared" si="11"/>
        <v>Not Overdue</v>
      </c>
      <c r="R186" s="14"/>
    </row>
    <row r="187" spans="1:18" x14ac:dyDescent="0.25">
      <c r="A187" s="18" t="s">
        <v>596</v>
      </c>
      <c r="B187" s="8" t="s">
        <v>12</v>
      </c>
      <c r="C187" s="8" t="s">
        <v>597</v>
      </c>
      <c r="D187" s="8" t="s">
        <v>598</v>
      </c>
      <c r="E187" s="19">
        <v>46038</v>
      </c>
      <c r="F187" s="19">
        <v>46053</v>
      </c>
      <c r="G187" s="8">
        <v>3672.35</v>
      </c>
      <c r="H187" s="8" t="s">
        <v>15</v>
      </c>
      <c r="I187" s="8" t="s">
        <v>29</v>
      </c>
      <c r="J187" s="8" t="s">
        <v>17</v>
      </c>
      <c r="K187" s="8" t="s">
        <v>24</v>
      </c>
      <c r="L187" t="str">
        <f t="shared" si="8"/>
        <v>Unique</v>
      </c>
      <c r="M187" s="8" t="str">
        <f>IF(COUNTIF(Payments_Raw!$B:$B,A187)=0,"Unpaid",IF(N187&gt;=G187,"Paid",IF(N187&gt;0,"Partial Payment",IF(COUNTIFS(Payments_Raw!$B:$B,A187,Payments_Raw!$F:$F,"Failed")&gt;0,"Failed",IF(COUNTIFS(Payments_Raw!$B:$B,A187,Payments_Raw!$F:$F,"Pending")&gt;0,"Pending","Unpaid")))))</f>
        <v>Paid</v>
      </c>
      <c r="N187" s="8">
        <f>SUMIFS(Payments_Raw!$E:$E,Payments_Raw!$B:$B,A187,Payments_Raw!$F:$F,"Successful")</f>
        <v>3672.35</v>
      </c>
      <c r="O187" s="26">
        <f t="shared" si="9"/>
        <v>0</v>
      </c>
      <c r="P187" s="9" t="str">
        <f t="shared" si="10"/>
        <v>No Exception</v>
      </c>
      <c r="Q187" s="14" t="str">
        <f t="shared" si="11"/>
        <v>Not Overdue</v>
      </c>
      <c r="R187" s="14"/>
    </row>
    <row r="188" spans="1:18" x14ac:dyDescent="0.25">
      <c r="A188" s="18" t="s">
        <v>599</v>
      </c>
      <c r="B188" s="8" t="s">
        <v>57</v>
      </c>
      <c r="C188" s="8" t="s">
        <v>600</v>
      </c>
      <c r="D188" s="8" t="s">
        <v>601</v>
      </c>
      <c r="E188" s="19">
        <v>46208</v>
      </c>
      <c r="F188" s="19">
        <v>46253</v>
      </c>
      <c r="G188" s="8">
        <v>9645.42</v>
      </c>
      <c r="H188" s="8" t="s">
        <v>15</v>
      </c>
      <c r="I188" s="8" t="s">
        <v>16</v>
      </c>
      <c r="J188" s="8" t="s">
        <v>17</v>
      </c>
      <c r="K188" s="8" t="s">
        <v>63</v>
      </c>
      <c r="L188" t="str">
        <f t="shared" si="8"/>
        <v>Unique</v>
      </c>
      <c r="M188" s="8" t="str">
        <f>IF(COUNTIF(Payments_Raw!$B:$B,A188)=0,"Unpaid",IF(N188&gt;=G188,"Paid",IF(N188&gt;0,"Partial Payment",IF(COUNTIFS(Payments_Raw!$B:$B,A188,Payments_Raw!$F:$F,"Failed")&gt;0,"Failed",IF(COUNTIFS(Payments_Raw!$B:$B,A188,Payments_Raw!$F:$F,"Pending")&gt;0,"Pending","Unpaid")))))</f>
        <v>Unpaid</v>
      </c>
      <c r="N188" s="8">
        <f>SUMIFS(Payments_Raw!$E:$E,Payments_Raw!$B:$B,A188,Payments_Raw!$F:$F,"Successful")</f>
        <v>0</v>
      </c>
      <c r="O188" s="26">
        <f t="shared" si="9"/>
        <v>9645.42</v>
      </c>
      <c r="P188" s="9" t="str">
        <f t="shared" si="10"/>
        <v>Unpaid Invoice</v>
      </c>
      <c r="Q188" s="14" t="str">
        <f t="shared" si="11"/>
        <v>Overdue</v>
      </c>
      <c r="R188" s="14"/>
    </row>
    <row r="189" spans="1:18" x14ac:dyDescent="0.25">
      <c r="A189" s="18" t="s">
        <v>602</v>
      </c>
      <c r="B189" s="8" t="s">
        <v>112</v>
      </c>
      <c r="C189" s="8" t="s">
        <v>603</v>
      </c>
      <c r="D189" s="8" t="s">
        <v>604</v>
      </c>
      <c r="E189" s="19">
        <v>46062</v>
      </c>
      <c r="F189" s="19">
        <v>46077</v>
      </c>
      <c r="G189" s="8">
        <v>14399.17</v>
      </c>
      <c r="H189" s="8" t="s">
        <v>15</v>
      </c>
      <c r="I189" s="8" t="s">
        <v>16</v>
      </c>
      <c r="J189" s="8" t="s">
        <v>17</v>
      </c>
      <c r="K189" s="8" t="s">
        <v>18</v>
      </c>
      <c r="L189" t="str">
        <f t="shared" si="8"/>
        <v>Unique</v>
      </c>
      <c r="M189" s="8" t="str">
        <f>IF(COUNTIF(Payments_Raw!$B:$B,A189)=0,"Unpaid",IF(N189&gt;=G189,"Paid",IF(N189&gt;0,"Partial Payment",IF(COUNTIFS(Payments_Raw!$B:$B,A189,Payments_Raw!$F:$F,"Failed")&gt;0,"Failed",IF(COUNTIFS(Payments_Raw!$B:$B,A189,Payments_Raw!$F:$F,"Pending")&gt;0,"Pending","Unpaid")))))</f>
        <v>Paid</v>
      </c>
      <c r="N189" s="8">
        <f>SUMIFS(Payments_Raw!$E:$E,Payments_Raw!$B:$B,A189,Payments_Raw!$F:$F,"Successful")</f>
        <v>15551.1</v>
      </c>
      <c r="O189" s="26">
        <f t="shared" si="9"/>
        <v>-1151.9300000000003</v>
      </c>
      <c r="P189" s="9" t="str">
        <f t="shared" si="10"/>
        <v>No Exception</v>
      </c>
      <c r="Q189" s="14" t="str">
        <f t="shared" si="11"/>
        <v>Not Overdue</v>
      </c>
      <c r="R189" s="14"/>
    </row>
    <row r="190" spans="1:18" x14ac:dyDescent="0.25">
      <c r="A190" s="18" t="s">
        <v>605</v>
      </c>
      <c r="B190" s="8" t="s">
        <v>71</v>
      </c>
      <c r="C190" s="8" t="s">
        <v>606</v>
      </c>
      <c r="D190" s="8" t="s">
        <v>607</v>
      </c>
      <c r="E190" s="19">
        <v>46118</v>
      </c>
      <c r="F190" s="19">
        <v>46133</v>
      </c>
      <c r="G190" s="8">
        <v>12536.21</v>
      </c>
      <c r="H190" s="8" t="s">
        <v>15</v>
      </c>
      <c r="I190" s="8" t="s">
        <v>16</v>
      </c>
      <c r="J190" s="8" t="s">
        <v>17</v>
      </c>
      <c r="K190" s="8" t="s">
        <v>63</v>
      </c>
      <c r="L190" t="str">
        <f t="shared" si="8"/>
        <v>Unique</v>
      </c>
      <c r="M190" s="8" t="str">
        <f>IF(COUNTIF(Payments_Raw!$B:$B,A190)=0,"Unpaid",IF(N190&gt;=G190,"Paid",IF(N190&gt;0,"Partial Payment",IF(COUNTIFS(Payments_Raw!$B:$B,A190,Payments_Raw!$F:$F,"Failed")&gt;0,"Failed",IF(COUNTIFS(Payments_Raw!$B:$B,A190,Payments_Raw!$F:$F,"Pending")&gt;0,"Pending","Unpaid")))))</f>
        <v>Paid</v>
      </c>
      <c r="N190" s="8">
        <f>SUMIFS(Payments_Raw!$E:$E,Payments_Raw!$B:$B,A190,Payments_Raw!$F:$F,"Successful")</f>
        <v>12536.21</v>
      </c>
      <c r="O190" s="26">
        <f t="shared" si="9"/>
        <v>0</v>
      </c>
      <c r="P190" s="9" t="str">
        <f t="shared" si="10"/>
        <v>No Exception</v>
      </c>
      <c r="Q190" s="14" t="str">
        <f t="shared" si="11"/>
        <v>Not Overdue</v>
      </c>
      <c r="R190" s="14"/>
    </row>
    <row r="191" spans="1:18" x14ac:dyDescent="0.25">
      <c r="A191" s="18" t="s">
        <v>608</v>
      </c>
      <c r="B191" s="8" t="s">
        <v>53</v>
      </c>
      <c r="C191" s="8" t="s">
        <v>609</v>
      </c>
      <c r="D191" s="8" t="s">
        <v>610</v>
      </c>
      <c r="E191" s="19">
        <v>46169</v>
      </c>
      <c r="F191" s="19">
        <v>46199</v>
      </c>
      <c r="G191" s="8">
        <v>17386.240000000002</v>
      </c>
      <c r="H191" s="8" t="s">
        <v>15</v>
      </c>
      <c r="I191" s="8" t="s">
        <v>29</v>
      </c>
      <c r="J191" s="8" t="s">
        <v>30</v>
      </c>
      <c r="K191" s="8" t="s">
        <v>18</v>
      </c>
      <c r="L191" t="str">
        <f t="shared" si="8"/>
        <v>Unique</v>
      </c>
      <c r="M191" s="8" t="str">
        <f>IF(COUNTIF(Payments_Raw!$B:$B,A191)=0,"Unpaid",IF(N191&gt;=G191,"Paid",IF(N191&gt;0,"Partial Payment",IF(COUNTIFS(Payments_Raw!$B:$B,A191,Payments_Raw!$F:$F,"Failed")&gt;0,"Failed",IF(COUNTIFS(Payments_Raw!$B:$B,A191,Payments_Raw!$F:$F,"Pending")&gt;0,"Pending","Unpaid")))))</f>
        <v>Unpaid</v>
      </c>
      <c r="N191" s="8">
        <f>SUMIFS(Payments_Raw!$E:$E,Payments_Raw!$B:$B,A191,Payments_Raw!$F:$F,"Successful")</f>
        <v>0</v>
      </c>
      <c r="O191" s="26">
        <f t="shared" si="9"/>
        <v>17386.240000000002</v>
      </c>
      <c r="P191" s="9" t="str">
        <f t="shared" si="10"/>
        <v>Unpaid Invoice</v>
      </c>
      <c r="Q191" s="14" t="str">
        <f t="shared" si="11"/>
        <v>Overdue</v>
      </c>
      <c r="R191" s="14"/>
    </row>
    <row r="192" spans="1:18" x14ac:dyDescent="0.25">
      <c r="A192" s="18" t="s">
        <v>611</v>
      </c>
      <c r="B192" s="8" t="s">
        <v>112</v>
      </c>
      <c r="C192" s="8" t="s">
        <v>612</v>
      </c>
      <c r="D192" s="8" t="s">
        <v>613</v>
      </c>
      <c r="E192" s="19">
        <v>46067</v>
      </c>
      <c r="F192" s="19">
        <v>46082</v>
      </c>
      <c r="G192" s="8">
        <v>20285.57</v>
      </c>
      <c r="H192" s="8" t="s">
        <v>15</v>
      </c>
      <c r="I192" s="8" t="s">
        <v>16</v>
      </c>
      <c r="J192" s="8" t="s">
        <v>30</v>
      </c>
      <c r="K192" s="8" t="s">
        <v>24</v>
      </c>
      <c r="L192" t="str">
        <f t="shared" si="8"/>
        <v>Unique</v>
      </c>
      <c r="M192" s="8" t="str">
        <f>IF(COUNTIF(Payments_Raw!$B:$B,A192)=0,"Unpaid",IF(N192&gt;=G192,"Paid",IF(N192&gt;0,"Partial Payment",IF(COUNTIFS(Payments_Raw!$B:$B,A192,Payments_Raw!$F:$F,"Failed")&gt;0,"Failed",IF(COUNTIFS(Payments_Raw!$B:$B,A192,Payments_Raw!$F:$F,"Pending")&gt;0,"Pending","Unpaid")))))</f>
        <v>Pending</v>
      </c>
      <c r="N192" s="8">
        <f>SUMIFS(Payments_Raw!$E:$E,Payments_Raw!$B:$B,A192,Payments_Raw!$F:$F,"Successful")</f>
        <v>0</v>
      </c>
      <c r="O192" s="26">
        <f t="shared" si="9"/>
        <v>20285.57</v>
      </c>
      <c r="P192" s="9" t="str">
        <f t="shared" si="10"/>
        <v>Pending Payment</v>
      </c>
      <c r="Q192" s="14" t="str">
        <f t="shared" si="11"/>
        <v>Overdue</v>
      </c>
      <c r="R192" s="14"/>
    </row>
    <row r="193" spans="1:18" x14ac:dyDescent="0.25">
      <c r="A193" s="18" t="s">
        <v>614</v>
      </c>
      <c r="B193" s="8" t="s">
        <v>163</v>
      </c>
      <c r="C193" s="8" t="s">
        <v>615</v>
      </c>
      <c r="D193" s="8" t="s">
        <v>616</v>
      </c>
      <c r="E193" s="19">
        <v>46176</v>
      </c>
      <c r="F193" s="19">
        <v>46191</v>
      </c>
      <c r="G193" s="8">
        <v>21301.89</v>
      </c>
      <c r="H193" s="8" t="s">
        <v>15</v>
      </c>
      <c r="I193" s="8" t="s">
        <v>39</v>
      </c>
      <c r="J193" s="8" t="s">
        <v>17</v>
      </c>
      <c r="K193" s="8" t="s">
        <v>18</v>
      </c>
      <c r="L193" t="str">
        <f t="shared" si="8"/>
        <v>Unique</v>
      </c>
      <c r="M193" s="8" t="str">
        <f>IF(COUNTIF(Payments_Raw!$B:$B,A193)=0,"Unpaid",IF(N193&gt;=G193,"Paid",IF(N193&gt;0,"Partial Payment",IF(COUNTIFS(Payments_Raw!$B:$B,A193,Payments_Raw!$F:$F,"Failed")&gt;0,"Failed",IF(COUNTIFS(Payments_Raw!$B:$B,A193,Payments_Raw!$F:$F,"Pending")&gt;0,"Pending","Unpaid")))))</f>
        <v>Pending</v>
      </c>
      <c r="N193" s="8">
        <f>SUMIFS(Payments_Raw!$E:$E,Payments_Raw!$B:$B,A193,Payments_Raw!$F:$F,"Successful")</f>
        <v>0</v>
      </c>
      <c r="O193" s="26">
        <f t="shared" si="9"/>
        <v>21301.89</v>
      </c>
      <c r="P193" s="9" t="str">
        <f t="shared" si="10"/>
        <v>Pending Payment</v>
      </c>
      <c r="Q193" s="14" t="str">
        <f t="shared" si="11"/>
        <v>Overdue</v>
      </c>
      <c r="R193" s="14"/>
    </row>
    <row r="194" spans="1:18" x14ac:dyDescent="0.25">
      <c r="A194" s="18" t="s">
        <v>617</v>
      </c>
      <c r="B194" s="8" t="s">
        <v>53</v>
      </c>
      <c r="C194" s="8" t="s">
        <v>618</v>
      </c>
      <c r="D194" s="8" t="s">
        <v>619</v>
      </c>
      <c r="E194" s="19">
        <v>46094</v>
      </c>
      <c r="F194" s="19">
        <v>46124</v>
      </c>
      <c r="G194" s="8">
        <v>6010</v>
      </c>
      <c r="H194" s="8" t="s">
        <v>15</v>
      </c>
      <c r="I194" s="8" t="s">
        <v>16</v>
      </c>
      <c r="J194" s="8" t="s">
        <v>17</v>
      </c>
      <c r="K194" s="8" t="s">
        <v>24</v>
      </c>
      <c r="L194" t="str">
        <f t="shared" si="8"/>
        <v>Unique</v>
      </c>
      <c r="M194" s="8" t="str">
        <f>IF(COUNTIF(Payments_Raw!$B:$B,A194)=0,"Unpaid",IF(N194&gt;=G194,"Paid",IF(N194&gt;0,"Partial Payment",IF(COUNTIFS(Payments_Raw!$B:$B,A194,Payments_Raw!$F:$F,"Failed")&gt;0,"Failed",IF(COUNTIFS(Payments_Raw!$B:$B,A194,Payments_Raw!$F:$F,"Pending")&gt;0,"Pending","Unpaid")))))</f>
        <v>Unpaid</v>
      </c>
      <c r="N194" s="8">
        <f>SUMIFS(Payments_Raw!$E:$E,Payments_Raw!$B:$B,A194,Payments_Raw!$F:$F,"Successful")</f>
        <v>0</v>
      </c>
      <c r="O194" s="26">
        <f t="shared" si="9"/>
        <v>6010</v>
      </c>
      <c r="P194" s="9" t="str">
        <f t="shared" si="10"/>
        <v>Unpaid Invoice</v>
      </c>
      <c r="Q194" s="14" t="str">
        <f t="shared" si="11"/>
        <v>Overdue</v>
      </c>
      <c r="R194" s="14"/>
    </row>
    <row r="195" spans="1:18" x14ac:dyDescent="0.25">
      <c r="A195" s="18" t="s">
        <v>620</v>
      </c>
      <c r="B195" s="8" t="s">
        <v>122</v>
      </c>
      <c r="C195" s="8" t="s">
        <v>621</v>
      </c>
      <c r="D195" s="8" t="s">
        <v>622</v>
      </c>
      <c r="E195" s="19">
        <v>46067</v>
      </c>
      <c r="F195" s="19">
        <v>46082</v>
      </c>
      <c r="G195" s="8">
        <v>1755.81</v>
      </c>
      <c r="H195" s="8" t="s">
        <v>15</v>
      </c>
      <c r="I195" s="8" t="s">
        <v>16</v>
      </c>
      <c r="J195" s="8" t="s">
        <v>17</v>
      </c>
      <c r="K195" s="8" t="s">
        <v>24</v>
      </c>
      <c r="L195" t="str">
        <f t="shared" ref="L195:L258" si="12">IF(COUNTIFS($B:$B,B195,$C:$C,C195)&gt;1,"Duplicate","Unique")</f>
        <v>Unique</v>
      </c>
      <c r="M195" s="8" t="str">
        <f>IF(COUNTIF(Payments_Raw!$B:$B,A195)=0,"Unpaid",IF(N195&gt;=G195,"Paid",IF(N195&gt;0,"Partial Payment",IF(COUNTIFS(Payments_Raw!$B:$B,A195,Payments_Raw!$F:$F,"Failed")&gt;0,"Failed",IF(COUNTIFS(Payments_Raw!$B:$B,A195,Payments_Raw!$F:$F,"Pending")&gt;0,"Pending","Unpaid")))))</f>
        <v>Unpaid</v>
      </c>
      <c r="N195" s="8">
        <f>SUMIFS(Payments_Raw!$E:$E,Payments_Raw!$B:$B,A195,Payments_Raw!$F:$F,"Successful")</f>
        <v>0</v>
      </c>
      <c r="O195" s="26">
        <f t="shared" ref="O195:O258" si="13">G195-N195</f>
        <v>1755.81</v>
      </c>
      <c r="P195" s="9" t="str">
        <f t="shared" ref="P195:P258" si="14">IF(L195="Duplicate","Duplicate Invoice",IF(M195="Failed","Failed Payment",IF(M195="Pending","Pending Payment",IF(M195="Unpaid","Unpaid Invoice",IF(M195="Partial Payment","Amount Mismatch","No Exception")))))</f>
        <v>Unpaid Invoice</v>
      </c>
      <c r="Q195" s="14" t="str">
        <f t="shared" ref="Q195:Q258" si="15">IF(AND(G195&lt;DATE(2026,10,14),M195&lt;&gt;"Paid"),"Overdue","Not Overdue")</f>
        <v>Overdue</v>
      </c>
      <c r="R195" s="14"/>
    </row>
    <row r="196" spans="1:18" x14ac:dyDescent="0.25">
      <c r="A196" s="18" t="s">
        <v>623</v>
      </c>
      <c r="B196" s="8" t="s">
        <v>102</v>
      </c>
      <c r="C196" s="8" t="s">
        <v>624</v>
      </c>
      <c r="D196" s="8" t="s">
        <v>625</v>
      </c>
      <c r="E196" s="19">
        <v>46087</v>
      </c>
      <c r="F196" s="19">
        <v>46132</v>
      </c>
      <c r="G196" s="8">
        <v>24312.81</v>
      </c>
      <c r="H196" s="8" t="s">
        <v>15</v>
      </c>
      <c r="I196" s="8" t="s">
        <v>39</v>
      </c>
      <c r="J196" s="8" t="s">
        <v>17</v>
      </c>
      <c r="K196" s="8" t="s">
        <v>24</v>
      </c>
      <c r="L196" t="str">
        <f t="shared" si="12"/>
        <v>Unique</v>
      </c>
      <c r="M196" s="8" t="str">
        <f>IF(COUNTIF(Payments_Raw!$B:$B,A196)=0,"Unpaid",IF(N196&gt;=G196,"Paid",IF(N196&gt;0,"Partial Payment",IF(COUNTIFS(Payments_Raw!$B:$B,A196,Payments_Raw!$F:$F,"Failed")&gt;0,"Failed",IF(COUNTIFS(Payments_Raw!$B:$B,A196,Payments_Raw!$F:$F,"Pending")&gt;0,"Pending","Unpaid")))))</f>
        <v>Paid</v>
      </c>
      <c r="N196" s="8">
        <f>SUMIFS(Payments_Raw!$E:$E,Payments_Raw!$B:$B,A196,Payments_Raw!$F:$F,"Successful")</f>
        <v>24312.81</v>
      </c>
      <c r="O196" s="26">
        <f t="shared" si="13"/>
        <v>0</v>
      </c>
      <c r="P196" s="9" t="str">
        <f t="shared" si="14"/>
        <v>No Exception</v>
      </c>
      <c r="Q196" s="14" t="str">
        <f t="shared" si="15"/>
        <v>Not Overdue</v>
      </c>
      <c r="R196" s="14"/>
    </row>
    <row r="197" spans="1:18" x14ac:dyDescent="0.25">
      <c r="A197" s="18" t="s">
        <v>626</v>
      </c>
      <c r="B197" s="8" t="s">
        <v>170</v>
      </c>
      <c r="C197" s="8" t="s">
        <v>627</v>
      </c>
      <c r="D197" s="8" t="s">
        <v>628</v>
      </c>
      <c r="E197" s="19">
        <v>46116</v>
      </c>
      <c r="F197" s="19">
        <v>46146</v>
      </c>
      <c r="G197" s="8">
        <v>19222.41</v>
      </c>
      <c r="H197" s="8" t="s">
        <v>15</v>
      </c>
      <c r="I197" s="8" t="s">
        <v>39</v>
      </c>
      <c r="J197" s="8" t="s">
        <v>17</v>
      </c>
      <c r="K197" s="8" t="s">
        <v>63</v>
      </c>
      <c r="L197" t="str">
        <f t="shared" si="12"/>
        <v>Unique</v>
      </c>
      <c r="M197" s="8" t="str">
        <f>IF(COUNTIF(Payments_Raw!$B:$B,A197)=0,"Unpaid",IF(N197&gt;=G197,"Paid",IF(N197&gt;0,"Partial Payment",IF(COUNTIFS(Payments_Raw!$B:$B,A197,Payments_Raw!$F:$F,"Failed")&gt;0,"Failed",IF(COUNTIFS(Payments_Raw!$B:$B,A197,Payments_Raw!$F:$F,"Pending")&gt;0,"Pending","Unpaid")))))</f>
        <v>Unpaid</v>
      </c>
      <c r="N197" s="8">
        <f>SUMIFS(Payments_Raw!$E:$E,Payments_Raw!$B:$B,A197,Payments_Raw!$F:$F,"Successful")</f>
        <v>0</v>
      </c>
      <c r="O197" s="26">
        <f t="shared" si="13"/>
        <v>19222.41</v>
      </c>
      <c r="P197" s="9" t="str">
        <f t="shared" si="14"/>
        <v>Unpaid Invoice</v>
      </c>
      <c r="Q197" s="14" t="str">
        <f t="shared" si="15"/>
        <v>Overdue</v>
      </c>
      <c r="R197" s="14"/>
    </row>
    <row r="198" spans="1:18" x14ac:dyDescent="0.25">
      <c r="A198" s="18" t="s">
        <v>629</v>
      </c>
      <c r="B198" s="8" t="s">
        <v>12</v>
      </c>
      <c r="C198" s="8" t="s">
        <v>630</v>
      </c>
      <c r="D198" s="8" t="s">
        <v>631</v>
      </c>
      <c r="E198" s="19">
        <v>46105</v>
      </c>
      <c r="F198" s="19">
        <v>46120</v>
      </c>
      <c r="G198" s="8">
        <v>8147.8</v>
      </c>
      <c r="H198" s="8" t="s">
        <v>15</v>
      </c>
      <c r="I198" s="8" t="s">
        <v>23</v>
      </c>
      <c r="J198" s="8" t="s">
        <v>17</v>
      </c>
      <c r="K198" s="8" t="s">
        <v>63</v>
      </c>
      <c r="L198" t="str">
        <f t="shared" si="12"/>
        <v>Unique</v>
      </c>
      <c r="M198" s="8" t="str">
        <f>IF(COUNTIF(Payments_Raw!$B:$B,A198)=0,"Unpaid",IF(N198&gt;=G198,"Paid",IF(N198&gt;0,"Partial Payment",IF(COUNTIFS(Payments_Raw!$B:$B,A198,Payments_Raw!$F:$F,"Failed")&gt;0,"Failed",IF(COUNTIFS(Payments_Raw!$B:$B,A198,Payments_Raw!$F:$F,"Pending")&gt;0,"Pending","Unpaid")))))</f>
        <v>Paid</v>
      </c>
      <c r="N198" s="8">
        <f>SUMIFS(Payments_Raw!$E:$E,Payments_Raw!$B:$B,A198,Payments_Raw!$F:$F,"Successful")</f>
        <v>8147.8</v>
      </c>
      <c r="O198" s="26">
        <f t="shared" si="13"/>
        <v>0</v>
      </c>
      <c r="P198" s="9" t="str">
        <f t="shared" si="14"/>
        <v>No Exception</v>
      </c>
      <c r="Q198" s="14" t="str">
        <f t="shared" si="15"/>
        <v>Not Overdue</v>
      </c>
      <c r="R198" s="14"/>
    </row>
    <row r="199" spans="1:18" x14ac:dyDescent="0.25">
      <c r="A199" s="18" t="s">
        <v>632</v>
      </c>
      <c r="B199" s="8" t="s">
        <v>53</v>
      </c>
      <c r="C199" s="8" t="s">
        <v>633</v>
      </c>
      <c r="D199" s="8" t="s">
        <v>634</v>
      </c>
      <c r="E199" s="19">
        <v>46305</v>
      </c>
      <c r="F199" s="19">
        <v>46335</v>
      </c>
      <c r="G199" s="8">
        <v>6948.34</v>
      </c>
      <c r="H199" s="8" t="s">
        <v>15</v>
      </c>
      <c r="I199" s="8" t="s">
        <v>29</v>
      </c>
      <c r="J199" s="8" t="s">
        <v>17</v>
      </c>
      <c r="K199" s="8" t="s">
        <v>24</v>
      </c>
      <c r="L199" t="str">
        <f t="shared" si="12"/>
        <v>Unique</v>
      </c>
      <c r="M199" s="8" t="str">
        <f>IF(COUNTIF(Payments_Raw!$B:$B,A199)=0,"Unpaid",IF(N199&gt;=G199,"Paid",IF(N199&gt;0,"Partial Payment",IF(COUNTIFS(Payments_Raw!$B:$B,A199,Payments_Raw!$F:$F,"Failed")&gt;0,"Failed",IF(COUNTIFS(Payments_Raw!$B:$B,A199,Payments_Raw!$F:$F,"Pending")&gt;0,"Pending","Unpaid")))))</f>
        <v>Unpaid</v>
      </c>
      <c r="N199" s="8">
        <f>SUMIFS(Payments_Raw!$E:$E,Payments_Raw!$B:$B,A199,Payments_Raw!$F:$F,"Successful")</f>
        <v>0</v>
      </c>
      <c r="O199" s="26">
        <f t="shared" si="13"/>
        <v>6948.34</v>
      </c>
      <c r="P199" s="9" t="str">
        <f t="shared" si="14"/>
        <v>Unpaid Invoice</v>
      </c>
      <c r="Q199" s="14" t="str">
        <f t="shared" si="15"/>
        <v>Overdue</v>
      </c>
      <c r="R199" s="14"/>
    </row>
    <row r="200" spans="1:18" x14ac:dyDescent="0.25">
      <c r="A200" s="18" t="s">
        <v>635</v>
      </c>
      <c r="B200" s="8" t="s">
        <v>170</v>
      </c>
      <c r="C200" s="8" t="s">
        <v>636</v>
      </c>
      <c r="D200" s="8" t="s">
        <v>637</v>
      </c>
      <c r="E200" s="19">
        <v>46101</v>
      </c>
      <c r="F200" s="19">
        <v>46131</v>
      </c>
      <c r="G200" s="8">
        <v>4379.47</v>
      </c>
      <c r="H200" s="8" t="s">
        <v>15</v>
      </c>
      <c r="I200" s="8" t="s">
        <v>39</v>
      </c>
      <c r="J200" s="8" t="s">
        <v>17</v>
      </c>
      <c r="K200" s="8" t="s">
        <v>18</v>
      </c>
      <c r="L200" t="str">
        <f t="shared" si="12"/>
        <v>Unique</v>
      </c>
      <c r="M200" s="8" t="str">
        <f>IF(COUNTIF(Payments_Raw!$B:$B,A200)=0,"Unpaid",IF(N200&gt;=G200,"Paid",IF(N200&gt;0,"Partial Payment",IF(COUNTIFS(Payments_Raw!$B:$B,A200,Payments_Raw!$F:$F,"Failed")&gt;0,"Failed",IF(COUNTIFS(Payments_Raw!$B:$B,A200,Payments_Raw!$F:$F,"Pending")&gt;0,"Pending","Unpaid")))))</f>
        <v>Paid</v>
      </c>
      <c r="N200" s="8">
        <f>SUMIFS(Payments_Raw!$E:$E,Payments_Raw!$B:$B,A200,Payments_Raw!$F:$F,"Successful")</f>
        <v>4379.47</v>
      </c>
      <c r="O200" s="26">
        <f t="shared" si="13"/>
        <v>0</v>
      </c>
      <c r="P200" s="9" t="str">
        <f t="shared" si="14"/>
        <v>No Exception</v>
      </c>
      <c r="Q200" s="14" t="str">
        <f t="shared" si="15"/>
        <v>Not Overdue</v>
      </c>
      <c r="R200" s="14"/>
    </row>
    <row r="201" spans="1:18" x14ac:dyDescent="0.25">
      <c r="A201" s="18" t="s">
        <v>638</v>
      </c>
      <c r="B201" s="8" t="s">
        <v>102</v>
      </c>
      <c r="C201" s="8" t="s">
        <v>639</v>
      </c>
      <c r="D201" s="8" t="s">
        <v>640</v>
      </c>
      <c r="E201" s="19">
        <v>46046</v>
      </c>
      <c r="F201" s="19">
        <v>46091</v>
      </c>
      <c r="G201" s="8">
        <v>23719.85</v>
      </c>
      <c r="H201" s="8" t="s">
        <v>15</v>
      </c>
      <c r="I201" s="8" t="s">
        <v>16</v>
      </c>
      <c r="J201" s="8" t="s">
        <v>17</v>
      </c>
      <c r="K201" s="8" t="s">
        <v>24</v>
      </c>
      <c r="L201" t="str">
        <f t="shared" si="12"/>
        <v>Unique</v>
      </c>
      <c r="M201" s="8" t="str">
        <f>IF(COUNTIF(Payments_Raw!$B:$B,A201)=0,"Unpaid",IF(N201&gt;=G201,"Paid",IF(N201&gt;0,"Partial Payment",IF(COUNTIFS(Payments_Raw!$B:$B,A201,Payments_Raw!$F:$F,"Failed")&gt;0,"Failed",IF(COUNTIFS(Payments_Raw!$B:$B,A201,Payments_Raw!$F:$F,"Pending")&gt;0,"Pending","Unpaid")))))</f>
        <v>Paid</v>
      </c>
      <c r="N201" s="8">
        <f>SUMIFS(Payments_Raw!$E:$E,Payments_Raw!$B:$B,A201,Payments_Raw!$F:$F,"Successful")</f>
        <v>23719.85</v>
      </c>
      <c r="O201" s="26">
        <f t="shared" si="13"/>
        <v>0</v>
      </c>
      <c r="P201" s="9" t="str">
        <f t="shared" si="14"/>
        <v>No Exception</v>
      </c>
      <c r="Q201" s="14" t="str">
        <f t="shared" si="15"/>
        <v>Not Overdue</v>
      </c>
      <c r="R201" s="14"/>
    </row>
    <row r="202" spans="1:18" x14ac:dyDescent="0.25">
      <c r="A202" s="18" t="s">
        <v>641</v>
      </c>
      <c r="B202" s="8" t="s">
        <v>71</v>
      </c>
      <c r="C202" s="8" t="s">
        <v>642</v>
      </c>
      <c r="D202" s="8" t="s">
        <v>643</v>
      </c>
      <c r="E202" s="19">
        <v>46277</v>
      </c>
      <c r="F202" s="19">
        <v>46292</v>
      </c>
      <c r="G202" s="8">
        <v>22238.240000000002</v>
      </c>
      <c r="H202" s="8" t="s">
        <v>15</v>
      </c>
      <c r="I202" s="8" t="s">
        <v>16</v>
      </c>
      <c r="J202" s="8" t="s">
        <v>17</v>
      </c>
      <c r="K202" s="8" t="s">
        <v>24</v>
      </c>
      <c r="L202" t="str">
        <f t="shared" si="12"/>
        <v>Unique</v>
      </c>
      <c r="M202" s="8" t="str">
        <f>IF(COUNTIF(Payments_Raw!$B:$B,A202)=0,"Unpaid",IF(N202&gt;=G202,"Paid",IF(N202&gt;0,"Partial Payment",IF(COUNTIFS(Payments_Raw!$B:$B,A202,Payments_Raw!$F:$F,"Failed")&gt;0,"Failed",IF(COUNTIFS(Payments_Raw!$B:$B,A202,Payments_Raw!$F:$F,"Pending")&gt;0,"Pending","Unpaid")))))</f>
        <v>Paid</v>
      </c>
      <c r="N202" s="8">
        <f>SUMIFS(Payments_Raw!$E:$E,Payments_Raw!$B:$B,A202,Payments_Raw!$F:$F,"Successful")</f>
        <v>22238.240000000002</v>
      </c>
      <c r="O202" s="26">
        <f t="shared" si="13"/>
        <v>0</v>
      </c>
      <c r="P202" s="9" t="str">
        <f t="shared" si="14"/>
        <v>No Exception</v>
      </c>
      <c r="Q202" s="14" t="str">
        <f t="shared" si="15"/>
        <v>Not Overdue</v>
      </c>
      <c r="R202" s="14"/>
    </row>
    <row r="203" spans="1:18" x14ac:dyDescent="0.25">
      <c r="A203" s="18" t="s">
        <v>644</v>
      </c>
      <c r="B203" s="8" t="s">
        <v>41</v>
      </c>
      <c r="C203" s="8" t="s">
        <v>645</v>
      </c>
      <c r="D203" s="8" t="s">
        <v>646</v>
      </c>
      <c r="E203" s="19">
        <v>46175</v>
      </c>
      <c r="F203" s="19">
        <v>46190</v>
      </c>
      <c r="G203" s="8">
        <v>11404.18</v>
      </c>
      <c r="H203" s="8" t="s">
        <v>15</v>
      </c>
      <c r="I203" s="8" t="s">
        <v>16</v>
      </c>
      <c r="J203" s="8" t="s">
        <v>17</v>
      </c>
      <c r="K203" s="8" t="s">
        <v>63</v>
      </c>
      <c r="L203" t="str">
        <f t="shared" si="12"/>
        <v>Unique</v>
      </c>
      <c r="M203" s="8" t="str">
        <f>IF(COUNTIF(Payments_Raw!$B:$B,A203)=0,"Unpaid",IF(N203&gt;=G203,"Paid",IF(N203&gt;0,"Partial Payment",IF(COUNTIFS(Payments_Raw!$B:$B,A203,Payments_Raw!$F:$F,"Failed")&gt;0,"Failed",IF(COUNTIFS(Payments_Raw!$B:$B,A203,Payments_Raw!$F:$F,"Pending")&gt;0,"Pending","Unpaid")))))</f>
        <v>Paid</v>
      </c>
      <c r="N203" s="8">
        <f>SUMIFS(Payments_Raw!$E:$E,Payments_Raw!$B:$B,A203,Payments_Raw!$F:$F,"Successful")</f>
        <v>11404.18</v>
      </c>
      <c r="O203" s="26">
        <f t="shared" si="13"/>
        <v>0</v>
      </c>
      <c r="P203" s="9" t="str">
        <f t="shared" si="14"/>
        <v>No Exception</v>
      </c>
      <c r="Q203" s="14" t="str">
        <f t="shared" si="15"/>
        <v>Not Overdue</v>
      </c>
      <c r="R203" s="14"/>
    </row>
    <row r="204" spans="1:18" x14ac:dyDescent="0.25">
      <c r="A204" s="18" t="s">
        <v>647</v>
      </c>
      <c r="B204" s="8" t="s">
        <v>138</v>
      </c>
      <c r="C204" s="8" t="s">
        <v>648</v>
      </c>
      <c r="D204" s="8" t="s">
        <v>649</v>
      </c>
      <c r="E204" s="19">
        <v>46096</v>
      </c>
      <c r="F204" s="19">
        <v>46141</v>
      </c>
      <c r="G204" s="8">
        <v>7897.05</v>
      </c>
      <c r="H204" s="8" t="s">
        <v>15</v>
      </c>
      <c r="I204" s="8" t="s">
        <v>29</v>
      </c>
      <c r="J204" s="8" t="s">
        <v>17</v>
      </c>
      <c r="K204" s="8" t="s">
        <v>24</v>
      </c>
      <c r="L204" t="str">
        <f t="shared" si="12"/>
        <v>Unique</v>
      </c>
      <c r="M204" s="8" t="str">
        <f>IF(COUNTIF(Payments_Raw!$B:$B,A204)=0,"Unpaid",IF(N204&gt;=G204,"Paid",IF(N204&gt;0,"Partial Payment",IF(COUNTIFS(Payments_Raw!$B:$B,A204,Payments_Raw!$F:$F,"Failed")&gt;0,"Failed",IF(COUNTIFS(Payments_Raw!$B:$B,A204,Payments_Raw!$F:$F,"Pending")&gt;0,"Pending","Unpaid")))))</f>
        <v>Paid</v>
      </c>
      <c r="N204" s="8">
        <f>SUMIFS(Payments_Raw!$E:$E,Payments_Raw!$B:$B,A204,Payments_Raw!$F:$F,"Successful")</f>
        <v>8528.81</v>
      </c>
      <c r="O204" s="26">
        <f t="shared" si="13"/>
        <v>-631.75999999999931</v>
      </c>
      <c r="P204" s="9" t="str">
        <f t="shared" si="14"/>
        <v>No Exception</v>
      </c>
      <c r="Q204" s="14" t="str">
        <f t="shared" si="15"/>
        <v>Not Overdue</v>
      </c>
      <c r="R204" s="14"/>
    </row>
    <row r="205" spans="1:18" x14ac:dyDescent="0.25">
      <c r="A205" s="18" t="s">
        <v>650</v>
      </c>
      <c r="B205" s="8" t="s">
        <v>45</v>
      </c>
      <c r="C205" s="8" t="s">
        <v>651</v>
      </c>
      <c r="D205" s="8" t="s">
        <v>652</v>
      </c>
      <c r="E205" s="19">
        <v>46186</v>
      </c>
      <c r="F205" s="19">
        <v>46216</v>
      </c>
      <c r="G205" s="8">
        <v>6134.44</v>
      </c>
      <c r="H205" s="8" t="s">
        <v>15</v>
      </c>
      <c r="I205" s="8" t="s">
        <v>29</v>
      </c>
      <c r="J205" s="8" t="s">
        <v>30</v>
      </c>
      <c r="K205" s="8" t="s">
        <v>63</v>
      </c>
      <c r="L205" t="str">
        <f t="shared" si="12"/>
        <v>Unique</v>
      </c>
      <c r="M205" s="8" t="str">
        <f>IF(COUNTIF(Payments_Raw!$B:$B,A205)=0,"Unpaid",IF(N205&gt;=G205,"Paid",IF(N205&gt;0,"Partial Payment",IF(COUNTIFS(Payments_Raw!$B:$B,A205,Payments_Raw!$F:$F,"Failed")&gt;0,"Failed",IF(COUNTIFS(Payments_Raw!$B:$B,A205,Payments_Raw!$F:$F,"Pending")&gt;0,"Pending","Unpaid")))))</f>
        <v>Paid</v>
      </c>
      <c r="N205" s="8">
        <f>SUMIFS(Payments_Raw!$E:$E,Payments_Raw!$B:$B,A205,Payments_Raw!$F:$F,"Successful")</f>
        <v>6134.44</v>
      </c>
      <c r="O205" s="26">
        <f t="shared" si="13"/>
        <v>0</v>
      </c>
      <c r="P205" s="9" t="str">
        <f t="shared" si="14"/>
        <v>No Exception</v>
      </c>
      <c r="Q205" s="14" t="str">
        <f t="shared" si="15"/>
        <v>Not Overdue</v>
      </c>
      <c r="R205" s="14"/>
    </row>
    <row r="206" spans="1:18" x14ac:dyDescent="0.25">
      <c r="A206" s="18" t="s">
        <v>653</v>
      </c>
      <c r="B206" s="8" t="s">
        <v>138</v>
      </c>
      <c r="C206" s="8" t="s">
        <v>654</v>
      </c>
      <c r="D206" s="8" t="s">
        <v>655</v>
      </c>
      <c r="E206" s="19">
        <v>46237</v>
      </c>
      <c r="F206" s="19">
        <v>46282</v>
      </c>
      <c r="G206" s="8">
        <v>6296.96</v>
      </c>
      <c r="H206" s="8" t="s">
        <v>15</v>
      </c>
      <c r="I206" s="8" t="s">
        <v>16</v>
      </c>
      <c r="J206" s="8" t="s">
        <v>17</v>
      </c>
      <c r="K206" s="8" t="s">
        <v>63</v>
      </c>
      <c r="L206" t="str">
        <f t="shared" si="12"/>
        <v>Unique</v>
      </c>
      <c r="M206" s="8" t="str">
        <f>IF(COUNTIF(Payments_Raw!$B:$B,A206)=0,"Unpaid",IF(N206&gt;=G206,"Paid",IF(N206&gt;0,"Partial Payment",IF(COUNTIFS(Payments_Raw!$B:$B,A206,Payments_Raw!$F:$F,"Failed")&gt;0,"Failed",IF(COUNTIFS(Payments_Raw!$B:$B,A206,Payments_Raw!$F:$F,"Pending")&gt;0,"Pending","Unpaid")))))</f>
        <v>Paid</v>
      </c>
      <c r="N206" s="8">
        <f>SUMIFS(Payments_Raw!$E:$E,Payments_Raw!$B:$B,A206,Payments_Raw!$F:$F,"Successful")</f>
        <v>6296.96</v>
      </c>
      <c r="O206" s="26">
        <f t="shared" si="13"/>
        <v>0</v>
      </c>
      <c r="P206" s="9" t="str">
        <f t="shared" si="14"/>
        <v>No Exception</v>
      </c>
      <c r="Q206" s="14" t="str">
        <f t="shared" si="15"/>
        <v>Not Overdue</v>
      </c>
      <c r="R206" s="14"/>
    </row>
    <row r="207" spans="1:18" x14ac:dyDescent="0.25">
      <c r="A207" s="18" t="s">
        <v>656</v>
      </c>
      <c r="B207" s="8" t="s">
        <v>53</v>
      </c>
      <c r="C207" s="8" t="s">
        <v>657</v>
      </c>
      <c r="D207" s="8" t="s">
        <v>658</v>
      </c>
      <c r="E207" s="19">
        <v>46104</v>
      </c>
      <c r="F207" s="19">
        <v>46134</v>
      </c>
      <c r="G207" s="8">
        <v>12516.85</v>
      </c>
      <c r="H207" s="8" t="s">
        <v>15</v>
      </c>
      <c r="I207" s="8" t="s">
        <v>16</v>
      </c>
      <c r="J207" s="8" t="s">
        <v>30</v>
      </c>
      <c r="K207" s="8" t="s">
        <v>63</v>
      </c>
      <c r="L207" t="str">
        <f t="shared" si="12"/>
        <v>Unique</v>
      </c>
      <c r="M207" s="8" t="str">
        <f>IF(COUNTIF(Payments_Raw!$B:$B,A207)=0,"Unpaid",IF(N207&gt;=G207,"Paid",IF(N207&gt;0,"Partial Payment",IF(COUNTIFS(Payments_Raw!$B:$B,A207,Payments_Raw!$F:$F,"Failed")&gt;0,"Failed",IF(COUNTIFS(Payments_Raw!$B:$B,A207,Payments_Raw!$F:$F,"Pending")&gt;0,"Pending","Unpaid")))))</f>
        <v>Paid</v>
      </c>
      <c r="N207" s="8">
        <f>SUMIFS(Payments_Raw!$E:$E,Payments_Raw!$B:$B,A207,Payments_Raw!$F:$F,"Successful")</f>
        <v>12516.85</v>
      </c>
      <c r="O207" s="26">
        <f t="shared" si="13"/>
        <v>0</v>
      </c>
      <c r="P207" s="9" t="str">
        <f t="shared" si="14"/>
        <v>No Exception</v>
      </c>
      <c r="Q207" s="14" t="str">
        <f t="shared" si="15"/>
        <v>Not Overdue</v>
      </c>
      <c r="R207" s="14"/>
    </row>
    <row r="208" spans="1:18" x14ac:dyDescent="0.25">
      <c r="A208" s="18" t="s">
        <v>659</v>
      </c>
      <c r="B208" s="8" t="s">
        <v>36</v>
      </c>
      <c r="C208" s="8" t="s">
        <v>660</v>
      </c>
      <c r="D208" s="8" t="s">
        <v>661</v>
      </c>
      <c r="E208" s="19">
        <v>46257</v>
      </c>
      <c r="F208" s="19">
        <v>46287</v>
      </c>
      <c r="G208" s="8">
        <v>24171.16</v>
      </c>
      <c r="H208" s="8" t="s">
        <v>15</v>
      </c>
      <c r="I208" s="8" t="s">
        <v>29</v>
      </c>
      <c r="J208" s="8" t="s">
        <v>17</v>
      </c>
      <c r="K208" s="8" t="s">
        <v>24</v>
      </c>
      <c r="L208" t="str">
        <f t="shared" si="12"/>
        <v>Unique</v>
      </c>
      <c r="M208" s="8" t="str">
        <f>IF(COUNTIF(Payments_Raw!$B:$B,A208)=0,"Unpaid",IF(N208&gt;=G208,"Paid",IF(N208&gt;0,"Partial Payment",IF(COUNTIFS(Payments_Raw!$B:$B,A208,Payments_Raw!$F:$F,"Failed")&gt;0,"Failed",IF(COUNTIFS(Payments_Raw!$B:$B,A208,Payments_Raw!$F:$F,"Pending")&gt;0,"Pending","Unpaid")))))</f>
        <v>Paid</v>
      </c>
      <c r="N208" s="8">
        <f>SUMIFS(Payments_Raw!$E:$E,Payments_Raw!$B:$B,A208,Payments_Raw!$F:$F,"Successful")</f>
        <v>24171.16</v>
      </c>
      <c r="O208" s="26">
        <f t="shared" si="13"/>
        <v>0</v>
      </c>
      <c r="P208" s="9" t="str">
        <f t="shared" si="14"/>
        <v>No Exception</v>
      </c>
      <c r="Q208" s="14" t="str">
        <f t="shared" si="15"/>
        <v>Not Overdue</v>
      </c>
      <c r="R208" s="14"/>
    </row>
    <row r="209" spans="1:18" x14ac:dyDescent="0.25">
      <c r="A209" s="18" t="s">
        <v>662</v>
      </c>
      <c r="B209" s="8" t="s">
        <v>75</v>
      </c>
      <c r="C209" s="8" t="s">
        <v>663</v>
      </c>
      <c r="D209" s="8" t="s">
        <v>664</v>
      </c>
      <c r="E209" s="19">
        <v>46169</v>
      </c>
      <c r="F209" s="19">
        <v>46184</v>
      </c>
      <c r="G209" s="8">
        <v>13472.87</v>
      </c>
      <c r="H209" s="8" t="s">
        <v>15</v>
      </c>
      <c r="I209" s="8" t="s">
        <v>23</v>
      </c>
      <c r="J209" s="8" t="s">
        <v>17</v>
      </c>
      <c r="K209" s="8" t="s">
        <v>63</v>
      </c>
      <c r="L209" t="str">
        <f t="shared" si="12"/>
        <v>Unique</v>
      </c>
      <c r="M209" s="8" t="str">
        <f>IF(COUNTIF(Payments_Raw!$B:$B,A209)=0,"Unpaid",IF(N209&gt;=G209,"Paid",IF(N209&gt;0,"Partial Payment",IF(COUNTIFS(Payments_Raw!$B:$B,A209,Payments_Raw!$F:$F,"Failed")&gt;0,"Failed",IF(COUNTIFS(Payments_Raw!$B:$B,A209,Payments_Raw!$F:$F,"Pending")&gt;0,"Pending","Unpaid")))))</f>
        <v>Paid</v>
      </c>
      <c r="N209" s="8">
        <f>SUMIFS(Payments_Raw!$E:$E,Payments_Raw!$B:$B,A209,Payments_Raw!$F:$F,"Successful")</f>
        <v>13472.87</v>
      </c>
      <c r="O209" s="26">
        <f t="shared" si="13"/>
        <v>0</v>
      </c>
      <c r="P209" s="9" t="str">
        <f t="shared" si="14"/>
        <v>No Exception</v>
      </c>
      <c r="Q209" s="14" t="str">
        <f t="shared" si="15"/>
        <v>Not Overdue</v>
      </c>
      <c r="R209" s="14"/>
    </row>
    <row r="210" spans="1:18" x14ac:dyDescent="0.25">
      <c r="A210" s="18" t="s">
        <v>665</v>
      </c>
      <c r="B210" s="8" t="s">
        <v>57</v>
      </c>
      <c r="C210" s="8" t="s">
        <v>666</v>
      </c>
      <c r="D210" s="8" t="s">
        <v>667</v>
      </c>
      <c r="E210" s="19">
        <v>46046</v>
      </c>
      <c r="F210" s="19">
        <v>46091</v>
      </c>
      <c r="G210" s="8">
        <v>10086.469999999999</v>
      </c>
      <c r="H210" s="8" t="s">
        <v>15</v>
      </c>
      <c r="I210" s="8" t="s">
        <v>16</v>
      </c>
      <c r="J210" s="8" t="s">
        <v>30</v>
      </c>
      <c r="K210" s="8" t="s">
        <v>24</v>
      </c>
      <c r="L210" t="str">
        <f t="shared" si="12"/>
        <v>Unique</v>
      </c>
      <c r="M210" s="8" t="str">
        <f>IF(COUNTIF(Payments_Raw!$B:$B,A210)=0,"Unpaid",IF(N210&gt;=G210,"Paid",IF(N210&gt;0,"Partial Payment",IF(COUNTIFS(Payments_Raw!$B:$B,A210,Payments_Raw!$F:$F,"Failed")&gt;0,"Failed",IF(COUNTIFS(Payments_Raw!$B:$B,A210,Payments_Raw!$F:$F,"Pending")&gt;0,"Pending","Unpaid")))))</f>
        <v>Paid</v>
      </c>
      <c r="N210" s="8">
        <f>SUMIFS(Payments_Raw!$E:$E,Payments_Raw!$B:$B,A210,Payments_Raw!$F:$F,"Successful")</f>
        <v>10086.469999999999</v>
      </c>
      <c r="O210" s="26">
        <f t="shared" si="13"/>
        <v>0</v>
      </c>
      <c r="P210" s="9" t="str">
        <f t="shared" si="14"/>
        <v>No Exception</v>
      </c>
      <c r="Q210" s="14" t="str">
        <f t="shared" si="15"/>
        <v>Not Overdue</v>
      </c>
      <c r="R210" s="14"/>
    </row>
    <row r="211" spans="1:18" x14ac:dyDescent="0.25">
      <c r="A211" s="18" t="s">
        <v>668</v>
      </c>
      <c r="B211" s="8" t="s">
        <v>112</v>
      </c>
      <c r="C211" s="8" t="s">
        <v>669</v>
      </c>
      <c r="D211" s="8" t="s">
        <v>670</v>
      </c>
      <c r="E211" s="19">
        <v>46304</v>
      </c>
      <c r="F211" s="19">
        <v>46319</v>
      </c>
      <c r="G211" s="8">
        <v>7079.45</v>
      </c>
      <c r="H211" s="8" t="s">
        <v>15</v>
      </c>
      <c r="I211" s="8" t="s">
        <v>29</v>
      </c>
      <c r="J211" s="8" t="s">
        <v>17</v>
      </c>
      <c r="K211" s="8" t="s">
        <v>63</v>
      </c>
      <c r="L211" t="str">
        <f t="shared" si="12"/>
        <v>Unique</v>
      </c>
      <c r="M211" s="8" t="str">
        <f>IF(COUNTIF(Payments_Raw!$B:$B,A211)=0,"Unpaid",IF(N211&gt;=G211,"Paid",IF(N211&gt;0,"Partial Payment",IF(COUNTIFS(Payments_Raw!$B:$B,A211,Payments_Raw!$F:$F,"Failed")&gt;0,"Failed",IF(COUNTIFS(Payments_Raw!$B:$B,A211,Payments_Raw!$F:$F,"Pending")&gt;0,"Pending","Unpaid")))))</f>
        <v>Unpaid</v>
      </c>
      <c r="N211" s="8">
        <f>SUMIFS(Payments_Raw!$E:$E,Payments_Raw!$B:$B,A211,Payments_Raw!$F:$F,"Successful")</f>
        <v>0</v>
      </c>
      <c r="O211" s="26">
        <f t="shared" si="13"/>
        <v>7079.45</v>
      </c>
      <c r="P211" s="9" t="str">
        <f t="shared" si="14"/>
        <v>Unpaid Invoice</v>
      </c>
      <c r="Q211" s="14" t="str">
        <f t="shared" si="15"/>
        <v>Overdue</v>
      </c>
      <c r="R211" s="14"/>
    </row>
    <row r="212" spans="1:18" x14ac:dyDescent="0.25">
      <c r="A212" s="18" t="s">
        <v>671</v>
      </c>
      <c r="B212" s="8" t="s">
        <v>57</v>
      </c>
      <c r="C212" s="8" t="s">
        <v>672</v>
      </c>
      <c r="D212" s="8" t="s">
        <v>673</v>
      </c>
      <c r="E212" s="19">
        <v>46196</v>
      </c>
      <c r="F212" s="19">
        <v>46241</v>
      </c>
      <c r="G212" s="8">
        <v>13998.86</v>
      </c>
      <c r="H212" s="8" t="s">
        <v>15</v>
      </c>
      <c r="I212" s="8" t="s">
        <v>16</v>
      </c>
      <c r="J212" s="8" t="s">
        <v>17</v>
      </c>
      <c r="K212" s="8" t="s">
        <v>18</v>
      </c>
      <c r="L212" t="str">
        <f t="shared" si="12"/>
        <v>Duplicate</v>
      </c>
      <c r="M212" s="8" t="str">
        <f>IF(COUNTIF(Payments_Raw!$B:$B,A212)=0,"Unpaid",IF(N212&gt;=G212,"Paid",IF(N212&gt;0,"Partial Payment",IF(COUNTIFS(Payments_Raw!$B:$B,A212,Payments_Raw!$F:$F,"Failed")&gt;0,"Failed",IF(COUNTIFS(Payments_Raw!$B:$B,A212,Payments_Raw!$F:$F,"Pending")&gt;0,"Pending","Unpaid")))))</f>
        <v>Paid</v>
      </c>
      <c r="N212" s="8">
        <f>SUMIFS(Payments_Raw!$E:$E,Payments_Raw!$B:$B,A212,Payments_Raw!$F:$F,"Successful")</f>
        <v>13998.86</v>
      </c>
      <c r="O212" s="26">
        <f t="shared" si="13"/>
        <v>0</v>
      </c>
      <c r="P212" s="9" t="str">
        <f t="shared" si="14"/>
        <v>Duplicate Invoice</v>
      </c>
      <c r="Q212" s="14" t="str">
        <f t="shared" si="15"/>
        <v>Not Overdue</v>
      </c>
      <c r="R212" s="14"/>
    </row>
    <row r="213" spans="1:18" x14ac:dyDescent="0.25">
      <c r="A213" s="18" t="s">
        <v>674</v>
      </c>
      <c r="B213" s="8" t="s">
        <v>89</v>
      </c>
      <c r="C213" s="8" t="s">
        <v>675</v>
      </c>
      <c r="D213" s="8" t="s">
        <v>676</v>
      </c>
      <c r="E213" s="19">
        <v>46042</v>
      </c>
      <c r="F213" s="19">
        <v>46057</v>
      </c>
      <c r="G213" s="8">
        <v>3529.46</v>
      </c>
      <c r="H213" s="8" t="s">
        <v>15</v>
      </c>
      <c r="I213" s="8" t="s">
        <v>16</v>
      </c>
      <c r="J213" s="8" t="s">
        <v>17</v>
      </c>
      <c r="K213" s="8" t="s">
        <v>24</v>
      </c>
      <c r="L213" t="str">
        <f t="shared" si="12"/>
        <v>Unique</v>
      </c>
      <c r="M213" s="8" t="str">
        <f>IF(COUNTIF(Payments_Raw!$B:$B,A213)=0,"Unpaid",IF(N213&gt;=G213,"Paid",IF(N213&gt;0,"Partial Payment",IF(COUNTIFS(Payments_Raw!$B:$B,A213,Payments_Raw!$F:$F,"Failed")&gt;0,"Failed",IF(COUNTIFS(Payments_Raw!$B:$B,A213,Payments_Raw!$F:$F,"Pending")&gt;0,"Pending","Unpaid")))))</f>
        <v>Paid</v>
      </c>
      <c r="N213" s="8">
        <f>SUMIFS(Payments_Raw!$E:$E,Payments_Raw!$B:$B,A213,Payments_Raw!$F:$F,"Successful")</f>
        <v>3529.46</v>
      </c>
      <c r="O213" s="26">
        <f t="shared" si="13"/>
        <v>0</v>
      </c>
      <c r="P213" s="9" t="str">
        <f t="shared" si="14"/>
        <v>No Exception</v>
      </c>
      <c r="Q213" s="14" t="str">
        <f t="shared" si="15"/>
        <v>Not Overdue</v>
      </c>
      <c r="R213" s="14"/>
    </row>
    <row r="214" spans="1:18" x14ac:dyDescent="0.25">
      <c r="A214" s="18" t="s">
        <v>677</v>
      </c>
      <c r="B214" s="8" t="s">
        <v>122</v>
      </c>
      <c r="C214" s="8" t="s">
        <v>678</v>
      </c>
      <c r="D214" s="8" t="s">
        <v>679</v>
      </c>
      <c r="E214" s="19">
        <v>46190</v>
      </c>
      <c r="F214" s="19">
        <v>46205</v>
      </c>
      <c r="G214" s="8">
        <v>23292.45</v>
      </c>
      <c r="H214" s="8" t="s">
        <v>15</v>
      </c>
      <c r="I214" s="8" t="s">
        <v>39</v>
      </c>
      <c r="J214" s="8" t="s">
        <v>17</v>
      </c>
      <c r="K214" s="8" t="s">
        <v>63</v>
      </c>
      <c r="L214" t="str">
        <f t="shared" si="12"/>
        <v>Duplicate</v>
      </c>
      <c r="M214" s="8" t="str">
        <f>IF(COUNTIF(Payments_Raw!$B:$B,A214)=0,"Unpaid",IF(N214&gt;=G214,"Paid",IF(N214&gt;0,"Partial Payment",IF(COUNTIFS(Payments_Raw!$B:$B,A214,Payments_Raw!$F:$F,"Failed")&gt;0,"Failed",IF(COUNTIFS(Payments_Raw!$B:$B,A214,Payments_Raw!$F:$F,"Pending")&gt;0,"Pending","Unpaid")))))</f>
        <v>Paid</v>
      </c>
      <c r="N214" s="8">
        <f>SUMIFS(Payments_Raw!$E:$E,Payments_Raw!$B:$B,A214,Payments_Raw!$F:$F,"Successful")</f>
        <v>23292.45</v>
      </c>
      <c r="O214" s="26">
        <f t="shared" si="13"/>
        <v>0</v>
      </c>
      <c r="P214" s="9" t="str">
        <f t="shared" si="14"/>
        <v>Duplicate Invoice</v>
      </c>
      <c r="Q214" s="14" t="str">
        <f t="shared" si="15"/>
        <v>Not Overdue</v>
      </c>
      <c r="R214" s="14"/>
    </row>
    <row r="215" spans="1:18" x14ac:dyDescent="0.25">
      <c r="A215" s="18" t="s">
        <v>680</v>
      </c>
      <c r="B215" s="8" t="s">
        <v>36</v>
      </c>
      <c r="C215" s="8" t="s">
        <v>681</v>
      </c>
      <c r="D215" s="8" t="s">
        <v>682</v>
      </c>
      <c r="E215" s="19">
        <v>46283</v>
      </c>
      <c r="F215" s="19">
        <v>46313</v>
      </c>
      <c r="G215" s="8">
        <v>13364.61</v>
      </c>
      <c r="H215" s="8" t="s">
        <v>15</v>
      </c>
      <c r="I215" s="8" t="s">
        <v>39</v>
      </c>
      <c r="J215" s="8" t="s">
        <v>17</v>
      </c>
      <c r="K215" s="8" t="s">
        <v>24</v>
      </c>
      <c r="L215" t="str">
        <f t="shared" si="12"/>
        <v>Unique</v>
      </c>
      <c r="M215" s="8" t="str">
        <f>IF(COUNTIF(Payments_Raw!$B:$B,A215)=0,"Unpaid",IF(N215&gt;=G215,"Paid",IF(N215&gt;0,"Partial Payment",IF(COUNTIFS(Payments_Raw!$B:$B,A215,Payments_Raw!$F:$F,"Failed")&gt;0,"Failed",IF(COUNTIFS(Payments_Raw!$B:$B,A215,Payments_Raw!$F:$F,"Pending")&gt;0,"Pending","Unpaid")))))</f>
        <v>Pending</v>
      </c>
      <c r="N215" s="8">
        <f>SUMIFS(Payments_Raw!$E:$E,Payments_Raw!$B:$B,A215,Payments_Raw!$F:$F,"Successful")</f>
        <v>0</v>
      </c>
      <c r="O215" s="26">
        <f t="shared" si="13"/>
        <v>13364.61</v>
      </c>
      <c r="P215" s="9" t="str">
        <f t="shared" si="14"/>
        <v>Pending Payment</v>
      </c>
      <c r="Q215" s="14" t="str">
        <f t="shared" si="15"/>
        <v>Overdue</v>
      </c>
      <c r="R215" s="14"/>
    </row>
    <row r="216" spans="1:18" x14ac:dyDescent="0.25">
      <c r="A216" s="18" t="s">
        <v>683</v>
      </c>
      <c r="B216" s="8" t="s">
        <v>45</v>
      </c>
      <c r="C216" s="8" t="s">
        <v>684</v>
      </c>
      <c r="D216" s="8" t="s">
        <v>685</v>
      </c>
      <c r="E216" s="19">
        <v>46236</v>
      </c>
      <c r="F216" s="19">
        <v>46266</v>
      </c>
      <c r="G216" s="8">
        <v>14642.51</v>
      </c>
      <c r="H216" s="8" t="s">
        <v>15</v>
      </c>
      <c r="I216" s="8" t="s">
        <v>16</v>
      </c>
      <c r="J216" s="8" t="s">
        <v>17</v>
      </c>
      <c r="K216" s="8" t="s">
        <v>24</v>
      </c>
      <c r="L216" t="str">
        <f t="shared" si="12"/>
        <v>Unique</v>
      </c>
      <c r="M216" s="8" t="str">
        <f>IF(COUNTIF(Payments_Raw!$B:$B,A216)=0,"Unpaid",IF(N216&gt;=G216,"Paid",IF(N216&gt;0,"Partial Payment",IF(COUNTIFS(Payments_Raw!$B:$B,A216,Payments_Raw!$F:$F,"Failed")&gt;0,"Failed",IF(COUNTIFS(Payments_Raw!$B:$B,A216,Payments_Raw!$F:$F,"Pending")&gt;0,"Pending","Unpaid")))))</f>
        <v>Unpaid</v>
      </c>
      <c r="N216" s="8">
        <f>SUMIFS(Payments_Raw!$E:$E,Payments_Raw!$B:$B,A216,Payments_Raw!$F:$F,"Successful")</f>
        <v>0</v>
      </c>
      <c r="O216" s="26">
        <f t="shared" si="13"/>
        <v>14642.51</v>
      </c>
      <c r="P216" s="9" t="str">
        <f t="shared" si="14"/>
        <v>Unpaid Invoice</v>
      </c>
      <c r="Q216" s="14" t="str">
        <f t="shared" si="15"/>
        <v>Overdue</v>
      </c>
      <c r="R216" s="14"/>
    </row>
    <row r="217" spans="1:18" x14ac:dyDescent="0.25">
      <c r="A217" s="18" t="s">
        <v>686</v>
      </c>
      <c r="B217" s="8" t="s">
        <v>170</v>
      </c>
      <c r="C217" s="8" t="s">
        <v>687</v>
      </c>
      <c r="D217" s="8" t="s">
        <v>688</v>
      </c>
      <c r="E217" s="19">
        <v>46139</v>
      </c>
      <c r="F217" s="19">
        <v>46169</v>
      </c>
      <c r="G217" s="8">
        <v>18068.43</v>
      </c>
      <c r="H217" s="8" t="s">
        <v>15</v>
      </c>
      <c r="I217" s="8" t="s">
        <v>16</v>
      </c>
      <c r="J217" s="8" t="s">
        <v>17</v>
      </c>
      <c r="K217" s="8" t="s">
        <v>63</v>
      </c>
      <c r="L217" t="str">
        <f t="shared" si="12"/>
        <v>Unique</v>
      </c>
      <c r="M217" s="8" t="str">
        <f>IF(COUNTIF(Payments_Raw!$B:$B,A217)=0,"Unpaid",IF(N217&gt;=G217,"Paid",IF(N217&gt;0,"Partial Payment",IF(COUNTIFS(Payments_Raw!$B:$B,A217,Payments_Raw!$F:$F,"Failed")&gt;0,"Failed",IF(COUNTIFS(Payments_Raw!$B:$B,A217,Payments_Raw!$F:$F,"Pending")&gt;0,"Pending","Unpaid")))))</f>
        <v>Unpaid</v>
      </c>
      <c r="N217" s="8">
        <f>SUMIFS(Payments_Raw!$E:$E,Payments_Raw!$B:$B,A217,Payments_Raw!$F:$F,"Successful")</f>
        <v>0</v>
      </c>
      <c r="O217" s="26">
        <f t="shared" si="13"/>
        <v>18068.43</v>
      </c>
      <c r="P217" s="9" t="str">
        <f t="shared" si="14"/>
        <v>Unpaid Invoice</v>
      </c>
      <c r="Q217" s="14" t="str">
        <f t="shared" si="15"/>
        <v>Overdue</v>
      </c>
      <c r="R217" s="14"/>
    </row>
    <row r="218" spans="1:18" x14ac:dyDescent="0.25">
      <c r="A218" s="18" t="s">
        <v>689</v>
      </c>
      <c r="B218" s="8" t="s">
        <v>122</v>
      </c>
      <c r="C218" s="8" t="s">
        <v>690</v>
      </c>
      <c r="D218" s="8" t="s">
        <v>691</v>
      </c>
      <c r="E218" s="19">
        <v>46147</v>
      </c>
      <c r="F218" s="19">
        <v>46162</v>
      </c>
      <c r="G218" s="8">
        <v>905.47</v>
      </c>
      <c r="H218" s="8" t="s">
        <v>15</v>
      </c>
      <c r="I218" s="8" t="s">
        <v>29</v>
      </c>
      <c r="J218" s="8" t="s">
        <v>17</v>
      </c>
      <c r="K218" s="8" t="s">
        <v>18</v>
      </c>
      <c r="L218" t="str">
        <f t="shared" si="12"/>
        <v>Unique</v>
      </c>
      <c r="M218" s="8" t="str">
        <f>IF(COUNTIF(Payments_Raw!$B:$B,A218)=0,"Unpaid",IF(N218&gt;=G218,"Paid",IF(N218&gt;0,"Partial Payment",IF(COUNTIFS(Payments_Raw!$B:$B,A218,Payments_Raw!$F:$F,"Failed")&gt;0,"Failed",IF(COUNTIFS(Payments_Raw!$B:$B,A218,Payments_Raw!$F:$F,"Pending")&gt;0,"Pending","Unpaid")))))</f>
        <v>Paid</v>
      </c>
      <c r="N218" s="8">
        <f>SUMIFS(Payments_Raw!$E:$E,Payments_Raw!$B:$B,A218,Payments_Raw!$F:$F,"Successful")</f>
        <v>905.47</v>
      </c>
      <c r="O218" s="26">
        <f t="shared" si="13"/>
        <v>0</v>
      </c>
      <c r="P218" s="9" t="str">
        <f t="shared" si="14"/>
        <v>No Exception</v>
      </c>
      <c r="Q218" s="14" t="str">
        <f t="shared" si="15"/>
        <v>Not Overdue</v>
      </c>
      <c r="R218" s="14"/>
    </row>
    <row r="219" spans="1:18" x14ac:dyDescent="0.25">
      <c r="A219" s="18" t="s">
        <v>692</v>
      </c>
      <c r="B219" s="8" t="s">
        <v>85</v>
      </c>
      <c r="C219" s="8" t="s">
        <v>693</v>
      </c>
      <c r="D219" s="8" t="s">
        <v>694</v>
      </c>
      <c r="E219" s="19">
        <v>46127</v>
      </c>
      <c r="F219" s="19">
        <v>46172</v>
      </c>
      <c r="G219" s="8">
        <v>10330.19</v>
      </c>
      <c r="H219" s="8" t="s">
        <v>15</v>
      </c>
      <c r="I219" s="8" t="s">
        <v>39</v>
      </c>
      <c r="J219" s="8" t="s">
        <v>30</v>
      </c>
      <c r="K219" s="8" t="s">
        <v>18</v>
      </c>
      <c r="L219" t="str">
        <f t="shared" si="12"/>
        <v>Unique</v>
      </c>
      <c r="M219" s="8" t="str">
        <f>IF(COUNTIF(Payments_Raw!$B:$B,A219)=0,"Unpaid",IF(N219&gt;=G219,"Paid",IF(N219&gt;0,"Partial Payment",IF(COUNTIFS(Payments_Raw!$B:$B,A219,Payments_Raw!$F:$F,"Failed")&gt;0,"Failed",IF(COUNTIFS(Payments_Raw!$B:$B,A219,Payments_Raw!$F:$F,"Pending")&gt;0,"Pending","Unpaid")))))</f>
        <v>Unpaid</v>
      </c>
      <c r="N219" s="8">
        <f>SUMIFS(Payments_Raw!$E:$E,Payments_Raw!$B:$B,A219,Payments_Raw!$F:$F,"Successful")</f>
        <v>0</v>
      </c>
      <c r="O219" s="26">
        <f t="shared" si="13"/>
        <v>10330.19</v>
      </c>
      <c r="P219" s="9" t="str">
        <f t="shared" si="14"/>
        <v>Unpaid Invoice</v>
      </c>
      <c r="Q219" s="14" t="str">
        <f t="shared" si="15"/>
        <v>Overdue</v>
      </c>
      <c r="R219" s="14"/>
    </row>
    <row r="220" spans="1:18" x14ac:dyDescent="0.25">
      <c r="A220" s="18" t="s">
        <v>695</v>
      </c>
      <c r="B220" s="8" t="s">
        <v>36</v>
      </c>
      <c r="C220" s="8" t="s">
        <v>696</v>
      </c>
      <c r="D220" s="8" t="s">
        <v>697</v>
      </c>
      <c r="E220" s="19">
        <v>46129</v>
      </c>
      <c r="F220" s="19">
        <v>46159</v>
      </c>
      <c r="G220" s="8">
        <v>14074.86</v>
      </c>
      <c r="H220" s="8" t="s">
        <v>15</v>
      </c>
      <c r="I220" s="8" t="s">
        <v>16</v>
      </c>
      <c r="J220" s="8" t="s">
        <v>17</v>
      </c>
      <c r="K220" s="8" t="s">
        <v>63</v>
      </c>
      <c r="L220" t="str">
        <f t="shared" si="12"/>
        <v>Unique</v>
      </c>
      <c r="M220" s="8" t="str">
        <f>IF(COUNTIF(Payments_Raw!$B:$B,A220)=0,"Unpaid",IF(N220&gt;=G220,"Paid",IF(N220&gt;0,"Partial Payment",IF(COUNTIFS(Payments_Raw!$B:$B,A220,Payments_Raw!$F:$F,"Failed")&gt;0,"Failed",IF(COUNTIFS(Payments_Raw!$B:$B,A220,Payments_Raw!$F:$F,"Pending")&gt;0,"Pending","Unpaid")))))</f>
        <v>Paid</v>
      </c>
      <c r="N220" s="8">
        <f>SUMIFS(Payments_Raw!$E:$E,Payments_Raw!$B:$B,A220,Payments_Raw!$F:$F,"Successful")</f>
        <v>14074.86</v>
      </c>
      <c r="O220" s="26">
        <f t="shared" si="13"/>
        <v>0</v>
      </c>
      <c r="P220" s="9" t="str">
        <f t="shared" si="14"/>
        <v>No Exception</v>
      </c>
      <c r="Q220" s="14" t="str">
        <f t="shared" si="15"/>
        <v>Not Overdue</v>
      </c>
      <c r="R220" s="14"/>
    </row>
    <row r="221" spans="1:18" x14ac:dyDescent="0.25">
      <c r="A221" s="18" t="s">
        <v>698</v>
      </c>
      <c r="B221" s="8" t="s">
        <v>32</v>
      </c>
      <c r="C221" s="8" t="s">
        <v>699</v>
      </c>
      <c r="D221" s="8" t="s">
        <v>700</v>
      </c>
      <c r="E221" s="19">
        <v>46198</v>
      </c>
      <c r="F221" s="19">
        <v>46228</v>
      </c>
      <c r="G221" s="8">
        <v>13711.28</v>
      </c>
      <c r="H221" s="8" t="s">
        <v>15</v>
      </c>
      <c r="I221" s="8" t="s">
        <v>39</v>
      </c>
      <c r="J221" s="8" t="s">
        <v>17</v>
      </c>
      <c r="K221" s="8" t="s">
        <v>63</v>
      </c>
      <c r="L221" t="str">
        <f t="shared" si="12"/>
        <v>Unique</v>
      </c>
      <c r="M221" s="8" t="str">
        <f>IF(COUNTIF(Payments_Raw!$B:$B,A221)=0,"Unpaid",IF(N221&gt;=G221,"Paid",IF(N221&gt;0,"Partial Payment",IF(COUNTIFS(Payments_Raw!$B:$B,A221,Payments_Raw!$F:$F,"Failed")&gt;0,"Failed",IF(COUNTIFS(Payments_Raw!$B:$B,A221,Payments_Raw!$F:$F,"Pending")&gt;0,"Pending","Unpaid")))))</f>
        <v>Unpaid</v>
      </c>
      <c r="N221" s="8">
        <f>SUMIFS(Payments_Raw!$E:$E,Payments_Raw!$B:$B,A221,Payments_Raw!$F:$F,"Successful")</f>
        <v>0</v>
      </c>
      <c r="O221" s="26">
        <f t="shared" si="13"/>
        <v>13711.28</v>
      </c>
      <c r="P221" s="9" t="str">
        <f t="shared" si="14"/>
        <v>Unpaid Invoice</v>
      </c>
      <c r="Q221" s="14" t="str">
        <f t="shared" si="15"/>
        <v>Overdue</v>
      </c>
      <c r="R221" s="14"/>
    </row>
    <row r="222" spans="1:18" x14ac:dyDescent="0.25">
      <c r="A222" s="18" t="s">
        <v>701</v>
      </c>
      <c r="B222" s="8" t="s">
        <v>53</v>
      </c>
      <c r="C222" s="8" t="s">
        <v>702</v>
      </c>
      <c r="D222" s="8" t="s">
        <v>703</v>
      </c>
      <c r="E222" s="19">
        <v>46149</v>
      </c>
      <c r="F222" s="19">
        <v>46179</v>
      </c>
      <c r="G222" s="8">
        <v>7061.68</v>
      </c>
      <c r="H222" s="8" t="s">
        <v>15</v>
      </c>
      <c r="I222" s="8" t="s">
        <v>16</v>
      </c>
      <c r="J222" s="8" t="s">
        <v>17</v>
      </c>
      <c r="K222" s="8" t="s">
        <v>24</v>
      </c>
      <c r="L222" t="str">
        <f t="shared" si="12"/>
        <v>Unique</v>
      </c>
      <c r="M222" s="8" t="str">
        <f>IF(COUNTIF(Payments_Raw!$B:$B,A222)=0,"Unpaid",IF(N222&gt;=G222,"Paid",IF(N222&gt;0,"Partial Payment",IF(COUNTIFS(Payments_Raw!$B:$B,A222,Payments_Raw!$F:$F,"Failed")&gt;0,"Failed",IF(COUNTIFS(Payments_Raw!$B:$B,A222,Payments_Raw!$F:$F,"Pending")&gt;0,"Pending","Unpaid")))))</f>
        <v>Unpaid</v>
      </c>
      <c r="N222" s="8">
        <f>SUMIFS(Payments_Raw!$E:$E,Payments_Raw!$B:$B,A222,Payments_Raw!$F:$F,"Successful")</f>
        <v>0</v>
      </c>
      <c r="O222" s="26">
        <f t="shared" si="13"/>
        <v>7061.68</v>
      </c>
      <c r="P222" s="9" t="str">
        <f t="shared" si="14"/>
        <v>Unpaid Invoice</v>
      </c>
      <c r="Q222" s="14" t="str">
        <f t="shared" si="15"/>
        <v>Overdue</v>
      </c>
      <c r="R222" s="14"/>
    </row>
    <row r="223" spans="1:18" x14ac:dyDescent="0.25">
      <c r="A223" s="18" t="s">
        <v>704</v>
      </c>
      <c r="B223" s="8" t="s">
        <v>75</v>
      </c>
      <c r="C223" s="8" t="s">
        <v>705</v>
      </c>
      <c r="D223" s="8" t="s">
        <v>706</v>
      </c>
      <c r="E223" s="19">
        <v>46185</v>
      </c>
      <c r="F223" s="19">
        <v>46200</v>
      </c>
      <c r="G223" s="8">
        <v>12057.51</v>
      </c>
      <c r="H223" s="8" t="s">
        <v>15</v>
      </c>
      <c r="I223" s="8" t="s">
        <v>29</v>
      </c>
      <c r="J223" s="8" t="s">
        <v>17</v>
      </c>
      <c r="K223" s="8" t="s">
        <v>63</v>
      </c>
      <c r="L223" t="str">
        <f t="shared" si="12"/>
        <v>Unique</v>
      </c>
      <c r="M223" s="8" t="str">
        <f>IF(COUNTIF(Payments_Raw!$B:$B,A223)=0,"Unpaid",IF(N223&gt;=G223,"Paid",IF(N223&gt;0,"Partial Payment",IF(COUNTIFS(Payments_Raw!$B:$B,A223,Payments_Raw!$F:$F,"Failed")&gt;0,"Failed",IF(COUNTIFS(Payments_Raw!$B:$B,A223,Payments_Raw!$F:$F,"Pending")&gt;0,"Pending","Unpaid")))))</f>
        <v>Paid</v>
      </c>
      <c r="N223" s="8">
        <f>SUMIFS(Payments_Raw!$E:$E,Payments_Raw!$B:$B,A223,Payments_Raw!$F:$F,"Successful")</f>
        <v>12057.51</v>
      </c>
      <c r="O223" s="26">
        <f t="shared" si="13"/>
        <v>0</v>
      </c>
      <c r="P223" s="9" t="str">
        <f t="shared" si="14"/>
        <v>No Exception</v>
      </c>
      <c r="Q223" s="14" t="str">
        <f t="shared" si="15"/>
        <v>Not Overdue</v>
      </c>
      <c r="R223" s="14"/>
    </row>
    <row r="224" spans="1:18" x14ac:dyDescent="0.25">
      <c r="A224" s="18" t="s">
        <v>707</v>
      </c>
      <c r="B224" s="8" t="s">
        <v>41</v>
      </c>
      <c r="C224" s="8" t="s">
        <v>708</v>
      </c>
      <c r="D224" s="8" t="s">
        <v>709</v>
      </c>
      <c r="E224" s="19">
        <v>46199</v>
      </c>
      <c r="F224" s="19">
        <v>46214</v>
      </c>
      <c r="G224" s="8">
        <v>23870.67</v>
      </c>
      <c r="H224" s="8" t="s">
        <v>15</v>
      </c>
      <c r="I224" s="8" t="s">
        <v>16</v>
      </c>
      <c r="J224" s="8" t="s">
        <v>17</v>
      </c>
      <c r="K224" s="8" t="s">
        <v>63</v>
      </c>
      <c r="L224" t="str">
        <f t="shared" si="12"/>
        <v>Unique</v>
      </c>
      <c r="M224" s="8" t="str">
        <f>IF(COUNTIF(Payments_Raw!$B:$B,A224)=0,"Unpaid",IF(N224&gt;=G224,"Paid",IF(N224&gt;0,"Partial Payment",IF(COUNTIFS(Payments_Raw!$B:$B,A224,Payments_Raw!$F:$F,"Failed")&gt;0,"Failed",IF(COUNTIFS(Payments_Raw!$B:$B,A224,Payments_Raw!$F:$F,"Pending")&gt;0,"Pending","Unpaid")))))</f>
        <v>Paid</v>
      </c>
      <c r="N224" s="8">
        <f>SUMIFS(Payments_Raw!$E:$E,Payments_Raw!$B:$B,A224,Payments_Raw!$F:$F,"Successful")</f>
        <v>23870.67</v>
      </c>
      <c r="O224" s="26">
        <f t="shared" si="13"/>
        <v>0</v>
      </c>
      <c r="P224" s="9" t="str">
        <f t="shared" si="14"/>
        <v>No Exception</v>
      </c>
      <c r="Q224" s="14" t="str">
        <f t="shared" si="15"/>
        <v>Not Overdue</v>
      </c>
      <c r="R224" s="14"/>
    </row>
    <row r="225" spans="1:18" x14ac:dyDescent="0.25">
      <c r="A225" s="18" t="s">
        <v>710</v>
      </c>
      <c r="B225" s="8" t="s">
        <v>112</v>
      </c>
      <c r="C225" s="8" t="s">
        <v>711</v>
      </c>
      <c r="D225" s="8" t="s">
        <v>712</v>
      </c>
      <c r="E225" s="19">
        <v>46154</v>
      </c>
      <c r="F225" s="19">
        <v>46169</v>
      </c>
      <c r="G225" s="8">
        <v>18713.78</v>
      </c>
      <c r="H225" s="8" t="s">
        <v>15</v>
      </c>
      <c r="I225" s="8" t="s">
        <v>23</v>
      </c>
      <c r="J225" s="8" t="s">
        <v>17</v>
      </c>
      <c r="K225" s="8" t="s">
        <v>18</v>
      </c>
      <c r="L225" t="str">
        <f t="shared" si="12"/>
        <v>Unique</v>
      </c>
      <c r="M225" s="8" t="str">
        <f>IF(COUNTIF(Payments_Raw!$B:$B,A225)=0,"Unpaid",IF(N225&gt;=G225,"Paid",IF(N225&gt;0,"Partial Payment",IF(COUNTIFS(Payments_Raw!$B:$B,A225,Payments_Raw!$F:$F,"Failed")&gt;0,"Failed",IF(COUNTIFS(Payments_Raw!$B:$B,A225,Payments_Raw!$F:$F,"Pending")&gt;0,"Pending","Unpaid")))))</f>
        <v>Paid</v>
      </c>
      <c r="N225" s="8">
        <f>SUMIFS(Payments_Raw!$E:$E,Payments_Raw!$B:$B,A225,Payments_Raw!$F:$F,"Successful")</f>
        <v>19275.189999999999</v>
      </c>
      <c r="O225" s="26">
        <f t="shared" si="13"/>
        <v>-561.40999999999985</v>
      </c>
      <c r="P225" s="9" t="str">
        <f t="shared" si="14"/>
        <v>No Exception</v>
      </c>
      <c r="Q225" s="14" t="str">
        <f t="shared" si="15"/>
        <v>Not Overdue</v>
      </c>
      <c r="R225" s="14"/>
    </row>
    <row r="226" spans="1:18" x14ac:dyDescent="0.25">
      <c r="A226" s="18" t="s">
        <v>713</v>
      </c>
      <c r="B226" s="8" t="s">
        <v>45</v>
      </c>
      <c r="C226" s="8" t="s">
        <v>714</v>
      </c>
      <c r="D226" s="8" t="s">
        <v>715</v>
      </c>
      <c r="E226" s="19">
        <v>46145</v>
      </c>
      <c r="F226" s="19">
        <v>46175</v>
      </c>
      <c r="G226" s="8">
        <v>6152.36</v>
      </c>
      <c r="H226" s="8" t="s">
        <v>15</v>
      </c>
      <c r="I226" s="8" t="s">
        <v>16</v>
      </c>
      <c r="J226" s="8" t="s">
        <v>30</v>
      </c>
      <c r="K226" s="8" t="s">
        <v>63</v>
      </c>
      <c r="L226" t="str">
        <f t="shared" si="12"/>
        <v>Unique</v>
      </c>
      <c r="M226" s="8" t="str">
        <f>IF(COUNTIF(Payments_Raw!$B:$B,A226)=0,"Unpaid",IF(N226&gt;=G226,"Paid",IF(N226&gt;0,"Partial Payment",IF(COUNTIFS(Payments_Raw!$B:$B,A226,Payments_Raw!$F:$F,"Failed")&gt;0,"Failed",IF(COUNTIFS(Payments_Raw!$B:$B,A226,Payments_Raw!$F:$F,"Pending")&gt;0,"Pending","Unpaid")))))</f>
        <v>Unpaid</v>
      </c>
      <c r="N226" s="8">
        <f>SUMIFS(Payments_Raw!$E:$E,Payments_Raw!$B:$B,A226,Payments_Raw!$F:$F,"Successful")</f>
        <v>0</v>
      </c>
      <c r="O226" s="26">
        <f t="shared" si="13"/>
        <v>6152.36</v>
      </c>
      <c r="P226" s="9" t="str">
        <f t="shared" si="14"/>
        <v>Unpaid Invoice</v>
      </c>
      <c r="Q226" s="14" t="str">
        <f t="shared" si="15"/>
        <v>Overdue</v>
      </c>
      <c r="R226" s="14"/>
    </row>
    <row r="227" spans="1:18" x14ac:dyDescent="0.25">
      <c r="A227" s="18" t="s">
        <v>716</v>
      </c>
      <c r="B227" s="8" t="s">
        <v>26</v>
      </c>
      <c r="C227" s="8" t="s">
        <v>717</v>
      </c>
      <c r="D227" s="8" t="s">
        <v>718</v>
      </c>
      <c r="E227" s="19">
        <v>46264</v>
      </c>
      <c r="F227" s="19">
        <v>46294</v>
      </c>
      <c r="G227" s="8">
        <v>2621.56</v>
      </c>
      <c r="H227" s="8" t="s">
        <v>15</v>
      </c>
      <c r="I227" s="8" t="s">
        <v>23</v>
      </c>
      <c r="J227" s="8" t="s">
        <v>17</v>
      </c>
      <c r="K227" s="8" t="s">
        <v>24</v>
      </c>
      <c r="L227" t="str">
        <f t="shared" si="12"/>
        <v>Unique</v>
      </c>
      <c r="M227" s="8" t="str">
        <f>IF(COUNTIF(Payments_Raw!$B:$B,A227)=0,"Unpaid",IF(N227&gt;=G227,"Paid",IF(N227&gt;0,"Partial Payment",IF(COUNTIFS(Payments_Raw!$B:$B,A227,Payments_Raw!$F:$F,"Failed")&gt;0,"Failed",IF(COUNTIFS(Payments_Raw!$B:$B,A227,Payments_Raw!$F:$F,"Pending")&gt;0,"Pending","Unpaid")))))</f>
        <v>Paid</v>
      </c>
      <c r="N227" s="8">
        <f>SUMIFS(Payments_Raw!$E:$E,Payments_Raw!$B:$B,A227,Payments_Raw!$F:$F,"Successful")</f>
        <v>2621.56</v>
      </c>
      <c r="O227" s="26">
        <f t="shared" si="13"/>
        <v>0</v>
      </c>
      <c r="P227" s="9" t="str">
        <f t="shared" si="14"/>
        <v>No Exception</v>
      </c>
      <c r="Q227" s="14" t="str">
        <f t="shared" si="15"/>
        <v>Not Overdue</v>
      </c>
      <c r="R227" s="14"/>
    </row>
    <row r="228" spans="1:18" x14ac:dyDescent="0.25">
      <c r="A228" s="18" t="s">
        <v>719</v>
      </c>
      <c r="B228" s="8" t="s">
        <v>75</v>
      </c>
      <c r="C228" s="8" t="s">
        <v>720</v>
      </c>
      <c r="D228" s="8" t="s">
        <v>721</v>
      </c>
      <c r="E228" s="19">
        <v>46267</v>
      </c>
      <c r="F228" s="19">
        <v>46282</v>
      </c>
      <c r="G228" s="8">
        <v>16305.4</v>
      </c>
      <c r="H228" s="8" t="s">
        <v>15</v>
      </c>
      <c r="I228" s="8" t="s">
        <v>16</v>
      </c>
      <c r="J228" s="8" t="s">
        <v>30</v>
      </c>
      <c r="K228" s="8" t="s">
        <v>18</v>
      </c>
      <c r="L228" t="str">
        <f t="shared" si="12"/>
        <v>Unique</v>
      </c>
      <c r="M228" s="8" t="str">
        <f>IF(COUNTIF(Payments_Raw!$B:$B,A228)=0,"Unpaid",IF(N228&gt;=G228,"Paid",IF(N228&gt;0,"Partial Payment",IF(COUNTIFS(Payments_Raw!$B:$B,A228,Payments_Raw!$F:$F,"Failed")&gt;0,"Failed",IF(COUNTIFS(Payments_Raw!$B:$B,A228,Payments_Raw!$F:$F,"Pending")&gt;0,"Pending","Unpaid")))))</f>
        <v>Paid</v>
      </c>
      <c r="N228" s="8">
        <f>SUMIFS(Payments_Raw!$E:$E,Payments_Raw!$B:$B,A228,Payments_Raw!$F:$F,"Successful")</f>
        <v>16305.4</v>
      </c>
      <c r="O228" s="26">
        <f t="shared" si="13"/>
        <v>0</v>
      </c>
      <c r="P228" s="9" t="str">
        <f t="shared" si="14"/>
        <v>No Exception</v>
      </c>
      <c r="Q228" s="14" t="str">
        <f t="shared" si="15"/>
        <v>Not Overdue</v>
      </c>
      <c r="R228" s="14"/>
    </row>
    <row r="229" spans="1:18" x14ac:dyDescent="0.25">
      <c r="A229" s="18" t="s">
        <v>722</v>
      </c>
      <c r="B229" s="8" t="s">
        <v>170</v>
      </c>
      <c r="C229" s="8" t="s">
        <v>723</v>
      </c>
      <c r="D229" s="8" t="s">
        <v>724</v>
      </c>
      <c r="E229" s="19">
        <v>46141</v>
      </c>
      <c r="F229" s="19">
        <v>46171</v>
      </c>
      <c r="G229" s="8">
        <v>13434.59</v>
      </c>
      <c r="H229" s="8" t="s">
        <v>15</v>
      </c>
      <c r="I229" s="8" t="s">
        <v>16</v>
      </c>
      <c r="J229" s="8" t="s">
        <v>17</v>
      </c>
      <c r="K229" s="8" t="s">
        <v>18</v>
      </c>
      <c r="L229" t="str">
        <f t="shared" si="12"/>
        <v>Unique</v>
      </c>
      <c r="M229" s="8" t="str">
        <f>IF(COUNTIF(Payments_Raw!$B:$B,A229)=0,"Unpaid",IF(N229&gt;=G229,"Paid",IF(N229&gt;0,"Partial Payment",IF(COUNTIFS(Payments_Raw!$B:$B,A229,Payments_Raw!$F:$F,"Failed")&gt;0,"Failed",IF(COUNTIFS(Payments_Raw!$B:$B,A229,Payments_Raw!$F:$F,"Pending")&gt;0,"Pending","Unpaid")))))</f>
        <v>Failed</v>
      </c>
      <c r="N229" s="8">
        <f>SUMIFS(Payments_Raw!$E:$E,Payments_Raw!$B:$B,A229,Payments_Raw!$F:$F,"Successful")</f>
        <v>0</v>
      </c>
      <c r="O229" s="26">
        <f t="shared" si="13"/>
        <v>13434.59</v>
      </c>
      <c r="P229" s="9" t="str">
        <f t="shared" si="14"/>
        <v>Failed Payment</v>
      </c>
      <c r="Q229" s="14" t="str">
        <f t="shared" si="15"/>
        <v>Overdue</v>
      </c>
      <c r="R229" s="14"/>
    </row>
    <row r="230" spans="1:18" x14ac:dyDescent="0.25">
      <c r="A230" s="18" t="s">
        <v>725</v>
      </c>
      <c r="B230" s="8" t="s">
        <v>41</v>
      </c>
      <c r="C230" s="8" t="s">
        <v>726</v>
      </c>
      <c r="D230" s="8" t="s">
        <v>727</v>
      </c>
      <c r="E230" s="19">
        <v>46276</v>
      </c>
      <c r="F230" s="19">
        <v>46291</v>
      </c>
      <c r="G230" s="8">
        <v>4755.43</v>
      </c>
      <c r="H230" s="8" t="s">
        <v>15</v>
      </c>
      <c r="I230" s="8" t="s">
        <v>29</v>
      </c>
      <c r="J230" s="8" t="s">
        <v>17</v>
      </c>
      <c r="K230" s="8" t="s">
        <v>18</v>
      </c>
      <c r="L230" t="str">
        <f t="shared" si="12"/>
        <v>Unique</v>
      </c>
      <c r="M230" s="8" t="str">
        <f>IF(COUNTIF(Payments_Raw!$B:$B,A230)=0,"Unpaid",IF(N230&gt;=G230,"Paid",IF(N230&gt;0,"Partial Payment",IF(COUNTIFS(Payments_Raw!$B:$B,A230,Payments_Raw!$F:$F,"Failed")&gt;0,"Failed",IF(COUNTIFS(Payments_Raw!$B:$B,A230,Payments_Raw!$F:$F,"Pending")&gt;0,"Pending","Unpaid")))))</f>
        <v>Paid</v>
      </c>
      <c r="N230" s="8">
        <f>SUMIFS(Payments_Raw!$E:$E,Payments_Raw!$B:$B,A230,Payments_Raw!$F:$F,"Successful")</f>
        <v>4755.43</v>
      </c>
      <c r="O230" s="26">
        <f t="shared" si="13"/>
        <v>0</v>
      </c>
      <c r="P230" s="9" t="str">
        <f t="shared" si="14"/>
        <v>No Exception</v>
      </c>
      <c r="Q230" s="14" t="str">
        <f t="shared" si="15"/>
        <v>Not Overdue</v>
      </c>
      <c r="R230" s="14"/>
    </row>
    <row r="231" spans="1:18" x14ac:dyDescent="0.25">
      <c r="A231" s="18" t="s">
        <v>728</v>
      </c>
      <c r="B231" s="8" t="s">
        <v>26</v>
      </c>
      <c r="C231" s="8" t="s">
        <v>729</v>
      </c>
      <c r="D231" s="8" t="s">
        <v>730</v>
      </c>
      <c r="E231" s="19">
        <v>46168</v>
      </c>
      <c r="F231" s="19">
        <v>46198</v>
      </c>
      <c r="G231" s="8">
        <v>11424.21</v>
      </c>
      <c r="H231" s="8" t="s">
        <v>15</v>
      </c>
      <c r="I231" s="8" t="s">
        <v>23</v>
      </c>
      <c r="J231" s="8" t="s">
        <v>30</v>
      </c>
      <c r="K231" s="8" t="s">
        <v>24</v>
      </c>
      <c r="L231" t="str">
        <f t="shared" si="12"/>
        <v>Unique</v>
      </c>
      <c r="M231" s="8" t="str">
        <f>IF(COUNTIF(Payments_Raw!$B:$B,A231)=0,"Unpaid",IF(N231&gt;=G231,"Paid",IF(N231&gt;0,"Partial Payment",IF(COUNTIFS(Payments_Raw!$B:$B,A231,Payments_Raw!$F:$F,"Failed")&gt;0,"Failed",IF(COUNTIFS(Payments_Raw!$B:$B,A231,Payments_Raw!$F:$F,"Pending")&gt;0,"Pending","Unpaid")))))</f>
        <v>Paid</v>
      </c>
      <c r="N231" s="8">
        <f>SUMIFS(Payments_Raw!$E:$E,Payments_Raw!$B:$B,A231,Payments_Raw!$F:$F,"Successful")</f>
        <v>11424.21</v>
      </c>
      <c r="O231" s="26">
        <f t="shared" si="13"/>
        <v>0</v>
      </c>
      <c r="P231" s="9" t="str">
        <f t="shared" si="14"/>
        <v>No Exception</v>
      </c>
      <c r="Q231" s="14" t="str">
        <f t="shared" si="15"/>
        <v>Not Overdue</v>
      </c>
      <c r="R231" s="14"/>
    </row>
    <row r="232" spans="1:18" x14ac:dyDescent="0.25">
      <c r="A232" s="18" t="s">
        <v>731</v>
      </c>
      <c r="B232" s="8" t="s">
        <v>112</v>
      </c>
      <c r="C232" s="8" t="s">
        <v>732</v>
      </c>
      <c r="D232" s="8" t="s">
        <v>733</v>
      </c>
      <c r="E232" s="19">
        <v>46162</v>
      </c>
      <c r="F232" s="19">
        <v>46177</v>
      </c>
      <c r="G232" s="8">
        <v>4917.1499999999996</v>
      </c>
      <c r="H232" s="8" t="s">
        <v>15</v>
      </c>
      <c r="I232" s="8" t="s">
        <v>16</v>
      </c>
      <c r="J232" s="8" t="s">
        <v>17</v>
      </c>
      <c r="K232" s="8" t="s">
        <v>18</v>
      </c>
      <c r="L232" t="str">
        <f t="shared" si="12"/>
        <v>Unique</v>
      </c>
      <c r="M232" s="8" t="str">
        <f>IF(COUNTIF(Payments_Raw!$B:$B,A232)=0,"Unpaid",IF(N232&gt;=G232,"Paid",IF(N232&gt;0,"Partial Payment",IF(COUNTIFS(Payments_Raw!$B:$B,A232,Payments_Raw!$F:$F,"Failed")&gt;0,"Failed",IF(COUNTIFS(Payments_Raw!$B:$B,A232,Payments_Raw!$F:$F,"Pending")&gt;0,"Pending","Unpaid")))))</f>
        <v>Paid</v>
      </c>
      <c r="N232" s="8">
        <f>SUMIFS(Payments_Raw!$E:$E,Payments_Raw!$B:$B,A232,Payments_Raw!$F:$F,"Successful")</f>
        <v>4917.1499999999996</v>
      </c>
      <c r="O232" s="26">
        <f t="shared" si="13"/>
        <v>0</v>
      </c>
      <c r="P232" s="9" t="str">
        <f t="shared" si="14"/>
        <v>No Exception</v>
      </c>
      <c r="Q232" s="14" t="str">
        <f t="shared" si="15"/>
        <v>Not Overdue</v>
      </c>
      <c r="R232" s="14"/>
    </row>
    <row r="233" spans="1:18" x14ac:dyDescent="0.25">
      <c r="A233" s="18" t="s">
        <v>734</v>
      </c>
      <c r="B233" s="8" t="s">
        <v>71</v>
      </c>
      <c r="C233" s="8" t="s">
        <v>735</v>
      </c>
      <c r="D233" s="8" t="s">
        <v>736</v>
      </c>
      <c r="E233" s="19">
        <v>46195</v>
      </c>
      <c r="F233" s="19">
        <v>46210</v>
      </c>
      <c r="G233" s="8">
        <v>19794.3</v>
      </c>
      <c r="H233" s="8" t="s">
        <v>15</v>
      </c>
      <c r="I233" s="8" t="s">
        <v>16</v>
      </c>
      <c r="J233" s="8" t="s">
        <v>17</v>
      </c>
      <c r="K233" s="8" t="s">
        <v>63</v>
      </c>
      <c r="L233" t="str">
        <f t="shared" si="12"/>
        <v>Unique</v>
      </c>
      <c r="M233" s="8" t="str">
        <f>IF(COUNTIF(Payments_Raw!$B:$B,A233)=0,"Unpaid",IF(N233&gt;=G233,"Paid",IF(N233&gt;0,"Partial Payment",IF(COUNTIFS(Payments_Raw!$B:$B,A233,Payments_Raw!$F:$F,"Failed")&gt;0,"Failed",IF(COUNTIFS(Payments_Raw!$B:$B,A233,Payments_Raw!$F:$F,"Pending")&gt;0,"Pending","Unpaid")))))</f>
        <v>Pending</v>
      </c>
      <c r="N233" s="8">
        <f>SUMIFS(Payments_Raw!$E:$E,Payments_Raw!$B:$B,A233,Payments_Raw!$F:$F,"Successful")</f>
        <v>0</v>
      </c>
      <c r="O233" s="26">
        <f t="shared" si="13"/>
        <v>19794.3</v>
      </c>
      <c r="P233" s="9" t="str">
        <f t="shared" si="14"/>
        <v>Pending Payment</v>
      </c>
      <c r="Q233" s="14" t="str">
        <f t="shared" si="15"/>
        <v>Overdue</v>
      </c>
      <c r="R233" s="14"/>
    </row>
    <row r="234" spans="1:18" x14ac:dyDescent="0.25">
      <c r="A234" s="18" t="s">
        <v>737</v>
      </c>
      <c r="B234" s="8" t="s">
        <v>85</v>
      </c>
      <c r="C234" s="8" t="s">
        <v>738</v>
      </c>
      <c r="D234" s="8" t="s">
        <v>739</v>
      </c>
      <c r="E234" s="19">
        <v>46286</v>
      </c>
      <c r="F234" s="19">
        <v>46331</v>
      </c>
      <c r="G234" s="8">
        <v>8278.82</v>
      </c>
      <c r="H234" s="8" t="s">
        <v>15</v>
      </c>
      <c r="I234" s="8" t="s">
        <v>23</v>
      </c>
      <c r="J234" s="8" t="s">
        <v>17</v>
      </c>
      <c r="K234" s="8" t="s">
        <v>18</v>
      </c>
      <c r="L234" t="str">
        <f t="shared" si="12"/>
        <v>Unique</v>
      </c>
      <c r="M234" s="8" t="str">
        <f>IF(COUNTIF(Payments_Raw!$B:$B,A234)=0,"Unpaid",IF(N234&gt;=G234,"Paid",IF(N234&gt;0,"Partial Payment",IF(COUNTIFS(Payments_Raw!$B:$B,A234,Payments_Raw!$F:$F,"Failed")&gt;0,"Failed",IF(COUNTIFS(Payments_Raw!$B:$B,A234,Payments_Raw!$F:$F,"Pending")&gt;0,"Pending","Unpaid")))))</f>
        <v>Failed</v>
      </c>
      <c r="N234" s="8">
        <f>SUMIFS(Payments_Raw!$E:$E,Payments_Raw!$B:$B,A234,Payments_Raw!$F:$F,"Successful")</f>
        <v>0</v>
      </c>
      <c r="O234" s="26">
        <f t="shared" si="13"/>
        <v>8278.82</v>
      </c>
      <c r="P234" s="9" t="str">
        <f t="shared" si="14"/>
        <v>Failed Payment</v>
      </c>
      <c r="Q234" s="14" t="str">
        <f t="shared" si="15"/>
        <v>Overdue</v>
      </c>
      <c r="R234" s="14"/>
    </row>
    <row r="235" spans="1:18" x14ac:dyDescent="0.25">
      <c r="A235" s="18" t="s">
        <v>740</v>
      </c>
      <c r="B235" s="8" t="s">
        <v>71</v>
      </c>
      <c r="C235" s="8" t="s">
        <v>741</v>
      </c>
      <c r="D235" s="8" t="s">
        <v>742</v>
      </c>
      <c r="E235" s="19">
        <v>46156</v>
      </c>
      <c r="F235" s="19">
        <v>46171</v>
      </c>
      <c r="G235" s="8">
        <v>9663.33</v>
      </c>
      <c r="H235" s="8" t="s">
        <v>15</v>
      </c>
      <c r="I235" s="8" t="s">
        <v>16</v>
      </c>
      <c r="J235" s="8" t="s">
        <v>17</v>
      </c>
      <c r="K235" s="8" t="s">
        <v>18</v>
      </c>
      <c r="L235" t="str">
        <f t="shared" si="12"/>
        <v>Unique</v>
      </c>
      <c r="M235" s="8" t="str">
        <f>IF(COUNTIF(Payments_Raw!$B:$B,A235)=0,"Unpaid",IF(N235&gt;=G235,"Paid",IF(N235&gt;0,"Partial Payment",IF(COUNTIFS(Payments_Raw!$B:$B,A235,Payments_Raw!$F:$F,"Failed")&gt;0,"Failed",IF(COUNTIFS(Payments_Raw!$B:$B,A235,Payments_Raw!$F:$F,"Pending")&gt;0,"Pending","Unpaid")))))</f>
        <v>Paid</v>
      </c>
      <c r="N235" s="8">
        <f>SUMIFS(Payments_Raw!$E:$E,Payments_Raw!$B:$B,A235,Payments_Raw!$F:$F,"Successful")</f>
        <v>9663.33</v>
      </c>
      <c r="O235" s="26">
        <f t="shared" si="13"/>
        <v>0</v>
      </c>
      <c r="P235" s="9" t="str">
        <f t="shared" si="14"/>
        <v>No Exception</v>
      </c>
      <c r="Q235" s="14" t="str">
        <f t="shared" si="15"/>
        <v>Not Overdue</v>
      </c>
      <c r="R235" s="14"/>
    </row>
    <row r="236" spans="1:18" x14ac:dyDescent="0.25">
      <c r="A236" s="18" t="s">
        <v>743</v>
      </c>
      <c r="B236" s="8" t="s">
        <v>49</v>
      </c>
      <c r="C236" s="8" t="s">
        <v>744</v>
      </c>
      <c r="D236" s="8" t="s">
        <v>745</v>
      </c>
      <c r="E236" s="19">
        <v>46207</v>
      </c>
      <c r="F236" s="19">
        <v>46237</v>
      </c>
      <c r="G236" s="8">
        <v>29137.87</v>
      </c>
      <c r="H236" s="8" t="s">
        <v>15</v>
      </c>
      <c r="I236" s="8" t="s">
        <v>16</v>
      </c>
      <c r="J236" s="8" t="s">
        <v>17</v>
      </c>
      <c r="K236" s="8" t="s">
        <v>24</v>
      </c>
      <c r="L236" t="str">
        <f t="shared" si="12"/>
        <v>Unique</v>
      </c>
      <c r="M236" s="8" t="str">
        <f>IF(COUNTIF(Payments_Raw!$B:$B,A236)=0,"Unpaid",IF(N236&gt;=G236,"Paid",IF(N236&gt;0,"Partial Payment",IF(COUNTIFS(Payments_Raw!$B:$B,A236,Payments_Raw!$F:$F,"Failed")&gt;0,"Failed",IF(COUNTIFS(Payments_Raw!$B:$B,A236,Payments_Raw!$F:$F,"Pending")&gt;0,"Pending","Unpaid")))))</f>
        <v>Failed</v>
      </c>
      <c r="N236" s="8">
        <f>SUMIFS(Payments_Raw!$E:$E,Payments_Raw!$B:$B,A236,Payments_Raw!$F:$F,"Successful")</f>
        <v>0</v>
      </c>
      <c r="O236" s="26">
        <f t="shared" si="13"/>
        <v>29137.87</v>
      </c>
      <c r="P236" s="9" t="str">
        <f t="shared" si="14"/>
        <v>Failed Payment</v>
      </c>
      <c r="Q236" s="14" t="str">
        <f t="shared" si="15"/>
        <v>Overdue</v>
      </c>
      <c r="R236" s="14"/>
    </row>
    <row r="237" spans="1:18" x14ac:dyDescent="0.25">
      <c r="A237" s="18" t="s">
        <v>746</v>
      </c>
      <c r="B237" s="8" t="s">
        <v>163</v>
      </c>
      <c r="C237" s="8" t="s">
        <v>747</v>
      </c>
      <c r="D237" s="8" t="s">
        <v>748</v>
      </c>
      <c r="E237" s="19">
        <v>46083</v>
      </c>
      <c r="F237" s="19">
        <v>46098</v>
      </c>
      <c r="G237" s="8">
        <v>16011.14</v>
      </c>
      <c r="H237" s="8" t="s">
        <v>15</v>
      </c>
      <c r="I237" s="8" t="s">
        <v>16</v>
      </c>
      <c r="J237" s="8" t="s">
        <v>17</v>
      </c>
      <c r="K237" s="8" t="s">
        <v>63</v>
      </c>
      <c r="L237" t="str">
        <f t="shared" si="12"/>
        <v>Unique</v>
      </c>
      <c r="M237" s="8" t="str">
        <f>IF(COUNTIF(Payments_Raw!$B:$B,A237)=0,"Unpaid",IF(N237&gt;=G237,"Paid",IF(N237&gt;0,"Partial Payment",IF(COUNTIFS(Payments_Raw!$B:$B,A237,Payments_Raw!$F:$F,"Failed")&gt;0,"Failed",IF(COUNTIFS(Payments_Raw!$B:$B,A237,Payments_Raw!$F:$F,"Pending")&gt;0,"Pending","Unpaid")))))</f>
        <v>Unpaid</v>
      </c>
      <c r="N237" s="8">
        <f>SUMIFS(Payments_Raw!$E:$E,Payments_Raw!$B:$B,A237,Payments_Raw!$F:$F,"Successful")</f>
        <v>0</v>
      </c>
      <c r="O237" s="26">
        <f t="shared" si="13"/>
        <v>16011.14</v>
      </c>
      <c r="P237" s="9" t="str">
        <f t="shared" si="14"/>
        <v>Unpaid Invoice</v>
      </c>
      <c r="Q237" s="14" t="str">
        <f t="shared" si="15"/>
        <v>Overdue</v>
      </c>
      <c r="R237" s="14"/>
    </row>
    <row r="238" spans="1:18" x14ac:dyDescent="0.25">
      <c r="A238" s="18" t="s">
        <v>749</v>
      </c>
      <c r="B238" s="8" t="s">
        <v>122</v>
      </c>
      <c r="C238" s="8" t="s">
        <v>750</v>
      </c>
      <c r="D238" s="8" t="s">
        <v>751</v>
      </c>
      <c r="E238" s="19">
        <v>46255</v>
      </c>
      <c r="F238" s="19">
        <v>46270</v>
      </c>
      <c r="G238" s="8">
        <v>18723.64</v>
      </c>
      <c r="H238" s="8" t="s">
        <v>15</v>
      </c>
      <c r="I238" s="8" t="s">
        <v>16</v>
      </c>
      <c r="J238" s="8" t="s">
        <v>17</v>
      </c>
      <c r="K238" s="8" t="s">
        <v>24</v>
      </c>
      <c r="L238" t="str">
        <f t="shared" si="12"/>
        <v>Unique</v>
      </c>
      <c r="M238" s="8" t="str">
        <f>IF(COUNTIF(Payments_Raw!$B:$B,A238)=0,"Unpaid",IF(N238&gt;=G238,"Paid",IF(N238&gt;0,"Partial Payment",IF(COUNTIFS(Payments_Raw!$B:$B,A238,Payments_Raw!$F:$F,"Failed")&gt;0,"Failed",IF(COUNTIFS(Payments_Raw!$B:$B,A238,Payments_Raw!$F:$F,"Pending")&gt;0,"Pending","Unpaid")))))</f>
        <v>Paid</v>
      </c>
      <c r="N238" s="8">
        <f>SUMIFS(Payments_Raw!$E:$E,Payments_Raw!$B:$B,A238,Payments_Raw!$F:$F,"Successful")</f>
        <v>18723.64</v>
      </c>
      <c r="O238" s="26">
        <f t="shared" si="13"/>
        <v>0</v>
      </c>
      <c r="P238" s="9" t="str">
        <f t="shared" si="14"/>
        <v>No Exception</v>
      </c>
      <c r="Q238" s="14" t="str">
        <f t="shared" si="15"/>
        <v>Not Overdue</v>
      </c>
      <c r="R238" s="14"/>
    </row>
    <row r="239" spans="1:18" x14ac:dyDescent="0.25">
      <c r="A239" s="18" t="s">
        <v>752</v>
      </c>
      <c r="B239" s="8" t="s">
        <v>53</v>
      </c>
      <c r="C239" s="8" t="s">
        <v>753</v>
      </c>
      <c r="D239" s="8" t="s">
        <v>754</v>
      </c>
      <c r="E239" s="19">
        <v>46149</v>
      </c>
      <c r="F239" s="19">
        <v>46179</v>
      </c>
      <c r="G239" s="8">
        <v>17046.91</v>
      </c>
      <c r="H239" s="8" t="s">
        <v>15</v>
      </c>
      <c r="I239" s="8" t="s">
        <v>16</v>
      </c>
      <c r="J239" s="8" t="s">
        <v>17</v>
      </c>
      <c r="K239" s="8" t="s">
        <v>18</v>
      </c>
      <c r="L239" t="str">
        <f t="shared" si="12"/>
        <v>Unique</v>
      </c>
      <c r="M239" s="8" t="str">
        <f>IF(COUNTIF(Payments_Raw!$B:$B,A239)=0,"Unpaid",IF(N239&gt;=G239,"Paid",IF(N239&gt;0,"Partial Payment",IF(COUNTIFS(Payments_Raw!$B:$B,A239,Payments_Raw!$F:$F,"Failed")&gt;0,"Failed",IF(COUNTIFS(Payments_Raw!$B:$B,A239,Payments_Raw!$F:$F,"Pending")&gt;0,"Pending","Unpaid")))))</f>
        <v>Paid</v>
      </c>
      <c r="N239" s="8">
        <f>SUMIFS(Payments_Raw!$E:$E,Payments_Raw!$B:$B,A239,Payments_Raw!$F:$F,"Successful")</f>
        <v>17046.91</v>
      </c>
      <c r="O239" s="26">
        <f t="shared" si="13"/>
        <v>0</v>
      </c>
      <c r="P239" s="9" t="str">
        <f t="shared" si="14"/>
        <v>No Exception</v>
      </c>
      <c r="Q239" s="14" t="str">
        <f t="shared" si="15"/>
        <v>Not Overdue</v>
      </c>
      <c r="R239" s="14"/>
    </row>
    <row r="240" spans="1:18" x14ac:dyDescent="0.25">
      <c r="A240" s="18" t="s">
        <v>755</v>
      </c>
      <c r="B240" s="8" t="s">
        <v>170</v>
      </c>
      <c r="C240" s="8" t="s">
        <v>756</v>
      </c>
      <c r="D240" s="8" t="s">
        <v>757</v>
      </c>
      <c r="E240" s="19">
        <v>46080</v>
      </c>
      <c r="F240" s="19">
        <v>46110</v>
      </c>
      <c r="G240" s="8">
        <v>1656.54</v>
      </c>
      <c r="H240" s="8" t="s">
        <v>15</v>
      </c>
      <c r="I240" s="8" t="s">
        <v>16</v>
      </c>
      <c r="J240" s="8" t="s">
        <v>17</v>
      </c>
      <c r="K240" s="8" t="s">
        <v>63</v>
      </c>
      <c r="L240" t="str">
        <f t="shared" si="12"/>
        <v>Unique</v>
      </c>
      <c r="M240" s="8" t="str">
        <f>IF(COUNTIF(Payments_Raw!$B:$B,A240)=0,"Unpaid",IF(N240&gt;=G240,"Paid",IF(N240&gt;0,"Partial Payment",IF(COUNTIFS(Payments_Raw!$B:$B,A240,Payments_Raw!$F:$F,"Failed")&gt;0,"Failed",IF(COUNTIFS(Payments_Raw!$B:$B,A240,Payments_Raw!$F:$F,"Pending")&gt;0,"Pending","Unpaid")))))</f>
        <v>Partial Payment</v>
      </c>
      <c r="N240" s="8">
        <f>SUMIFS(Payments_Raw!$E:$E,Payments_Raw!$B:$B,A240,Payments_Raw!$F:$F,"Successful")</f>
        <v>1524.02</v>
      </c>
      <c r="O240" s="26">
        <f t="shared" si="13"/>
        <v>132.51999999999998</v>
      </c>
      <c r="P240" s="9" t="str">
        <f t="shared" si="14"/>
        <v>Amount Mismatch</v>
      </c>
      <c r="Q240" s="14" t="str">
        <f t="shared" si="15"/>
        <v>Overdue</v>
      </c>
      <c r="R240" s="14"/>
    </row>
    <row r="241" spans="1:18" x14ac:dyDescent="0.25">
      <c r="A241" s="18" t="s">
        <v>758</v>
      </c>
      <c r="B241" s="8" t="s">
        <v>36</v>
      </c>
      <c r="C241" s="8" t="s">
        <v>759</v>
      </c>
      <c r="D241" s="8" t="s">
        <v>760</v>
      </c>
      <c r="E241" s="19">
        <v>46249</v>
      </c>
      <c r="F241" s="19">
        <v>46279</v>
      </c>
      <c r="G241" s="8">
        <v>3012.05</v>
      </c>
      <c r="H241" s="8" t="s">
        <v>15</v>
      </c>
      <c r="I241" s="8" t="s">
        <v>29</v>
      </c>
      <c r="J241" s="8" t="s">
        <v>17</v>
      </c>
      <c r="K241" s="8" t="s">
        <v>18</v>
      </c>
      <c r="L241" t="str">
        <f t="shared" si="12"/>
        <v>Unique</v>
      </c>
      <c r="M241" s="8" t="str">
        <f>IF(COUNTIF(Payments_Raw!$B:$B,A241)=0,"Unpaid",IF(N241&gt;=G241,"Paid",IF(N241&gt;0,"Partial Payment",IF(COUNTIFS(Payments_Raw!$B:$B,A241,Payments_Raw!$F:$F,"Failed")&gt;0,"Failed",IF(COUNTIFS(Payments_Raw!$B:$B,A241,Payments_Raw!$F:$F,"Pending")&gt;0,"Pending","Unpaid")))))</f>
        <v>Failed</v>
      </c>
      <c r="N241" s="8">
        <f>SUMIFS(Payments_Raw!$E:$E,Payments_Raw!$B:$B,A241,Payments_Raw!$F:$F,"Successful")</f>
        <v>0</v>
      </c>
      <c r="O241" s="26">
        <f t="shared" si="13"/>
        <v>3012.05</v>
      </c>
      <c r="P241" s="9" t="str">
        <f t="shared" si="14"/>
        <v>Failed Payment</v>
      </c>
      <c r="Q241" s="14" t="str">
        <f t="shared" si="15"/>
        <v>Overdue</v>
      </c>
      <c r="R241" s="14"/>
    </row>
    <row r="242" spans="1:18" x14ac:dyDescent="0.25">
      <c r="A242" s="18" t="s">
        <v>761</v>
      </c>
      <c r="B242" s="8" t="s">
        <v>112</v>
      </c>
      <c r="C242" s="8" t="s">
        <v>762</v>
      </c>
      <c r="D242" s="8" t="s">
        <v>763</v>
      </c>
      <c r="E242" s="19">
        <v>46090</v>
      </c>
      <c r="F242" s="19">
        <v>46105</v>
      </c>
      <c r="G242" s="8">
        <v>12889.61</v>
      </c>
      <c r="H242" s="8" t="s">
        <v>15</v>
      </c>
      <c r="I242" s="8" t="s">
        <v>16</v>
      </c>
      <c r="J242" s="8" t="s">
        <v>17</v>
      </c>
      <c r="K242" s="8" t="s">
        <v>24</v>
      </c>
      <c r="L242" t="str">
        <f t="shared" si="12"/>
        <v>Unique</v>
      </c>
      <c r="M242" s="8" t="str">
        <f>IF(COUNTIF(Payments_Raw!$B:$B,A242)=0,"Unpaid",IF(N242&gt;=G242,"Paid",IF(N242&gt;0,"Partial Payment",IF(COUNTIFS(Payments_Raw!$B:$B,A242,Payments_Raw!$F:$F,"Failed")&gt;0,"Failed",IF(COUNTIFS(Payments_Raw!$B:$B,A242,Payments_Raw!$F:$F,"Pending")&gt;0,"Pending","Unpaid")))))</f>
        <v>Paid</v>
      </c>
      <c r="N242" s="8">
        <f>SUMIFS(Payments_Raw!$E:$E,Payments_Raw!$B:$B,A242,Payments_Raw!$F:$F,"Successful")</f>
        <v>12889.61</v>
      </c>
      <c r="O242" s="26">
        <f t="shared" si="13"/>
        <v>0</v>
      </c>
      <c r="P242" s="9" t="str">
        <f t="shared" si="14"/>
        <v>No Exception</v>
      </c>
      <c r="Q242" s="14" t="str">
        <f t="shared" si="15"/>
        <v>Not Overdue</v>
      </c>
      <c r="R242" s="14"/>
    </row>
    <row r="243" spans="1:18" x14ac:dyDescent="0.25">
      <c r="A243" s="18" t="s">
        <v>764</v>
      </c>
      <c r="B243" s="8" t="s">
        <v>71</v>
      </c>
      <c r="C243" s="8" t="s">
        <v>765</v>
      </c>
      <c r="D243" s="8" t="s">
        <v>766</v>
      </c>
      <c r="E243" s="19">
        <v>46225</v>
      </c>
      <c r="F243" s="19">
        <v>46240</v>
      </c>
      <c r="G243" s="8">
        <v>32626.55</v>
      </c>
      <c r="H243" s="8" t="s">
        <v>15</v>
      </c>
      <c r="I243" s="8" t="s">
        <v>16</v>
      </c>
      <c r="J243" s="8" t="s">
        <v>17</v>
      </c>
      <c r="K243" s="8" t="s">
        <v>24</v>
      </c>
      <c r="L243" t="str">
        <f t="shared" si="12"/>
        <v>Unique</v>
      </c>
      <c r="M243" s="8" t="str">
        <f>IF(COUNTIF(Payments_Raw!$B:$B,A243)=0,"Unpaid",IF(N243&gt;=G243,"Paid",IF(N243&gt;0,"Partial Payment",IF(COUNTIFS(Payments_Raw!$B:$B,A243,Payments_Raw!$F:$F,"Failed")&gt;0,"Failed",IF(COUNTIFS(Payments_Raw!$B:$B,A243,Payments_Raw!$F:$F,"Pending")&gt;0,"Pending","Unpaid")))))</f>
        <v>Paid</v>
      </c>
      <c r="N243" s="8">
        <f>SUMIFS(Payments_Raw!$E:$E,Payments_Raw!$B:$B,A243,Payments_Raw!$F:$F,"Successful")</f>
        <v>32626.55</v>
      </c>
      <c r="O243" s="26">
        <f t="shared" si="13"/>
        <v>0</v>
      </c>
      <c r="P243" s="9" t="str">
        <f t="shared" si="14"/>
        <v>No Exception</v>
      </c>
      <c r="Q243" s="14" t="str">
        <f t="shared" si="15"/>
        <v>Not Overdue</v>
      </c>
      <c r="R243" s="14"/>
    </row>
    <row r="244" spans="1:18" x14ac:dyDescent="0.25">
      <c r="A244" s="18" t="s">
        <v>767</v>
      </c>
      <c r="B244" s="8" t="s">
        <v>89</v>
      </c>
      <c r="C244" s="8" t="s">
        <v>768</v>
      </c>
      <c r="D244" s="8" t="s">
        <v>769</v>
      </c>
      <c r="E244" s="19">
        <v>46058</v>
      </c>
      <c r="F244" s="19">
        <v>46073</v>
      </c>
      <c r="G244" s="8">
        <v>24655.09</v>
      </c>
      <c r="H244" s="8" t="s">
        <v>15</v>
      </c>
      <c r="I244" s="8" t="s">
        <v>29</v>
      </c>
      <c r="J244" s="8" t="s">
        <v>30</v>
      </c>
      <c r="K244" s="8" t="s">
        <v>24</v>
      </c>
      <c r="L244" t="str">
        <f t="shared" si="12"/>
        <v>Unique</v>
      </c>
      <c r="M244" s="8" t="str">
        <f>IF(COUNTIF(Payments_Raw!$B:$B,A244)=0,"Unpaid",IF(N244&gt;=G244,"Paid",IF(N244&gt;0,"Partial Payment",IF(COUNTIFS(Payments_Raw!$B:$B,A244,Payments_Raw!$F:$F,"Failed")&gt;0,"Failed",IF(COUNTIFS(Payments_Raw!$B:$B,A244,Payments_Raw!$F:$F,"Pending")&gt;0,"Pending","Unpaid")))))</f>
        <v>Paid</v>
      </c>
      <c r="N244" s="8">
        <f>SUMIFS(Payments_Raw!$E:$E,Payments_Raw!$B:$B,A244,Payments_Raw!$F:$F,"Successful")</f>
        <v>24655.09</v>
      </c>
      <c r="O244" s="26">
        <f t="shared" si="13"/>
        <v>0</v>
      </c>
      <c r="P244" s="9" t="str">
        <f t="shared" si="14"/>
        <v>No Exception</v>
      </c>
      <c r="Q244" s="14" t="str">
        <f t="shared" si="15"/>
        <v>Not Overdue</v>
      </c>
      <c r="R244" s="14"/>
    </row>
    <row r="245" spans="1:18" x14ac:dyDescent="0.25">
      <c r="A245" s="18" t="s">
        <v>770</v>
      </c>
      <c r="B245" s="8" t="s">
        <v>85</v>
      </c>
      <c r="C245" s="8" t="s">
        <v>771</v>
      </c>
      <c r="D245" s="8" t="s">
        <v>772</v>
      </c>
      <c r="E245" s="19">
        <v>46214</v>
      </c>
      <c r="F245" s="19">
        <v>46259</v>
      </c>
      <c r="G245" s="8">
        <v>24822.27</v>
      </c>
      <c r="H245" s="8" t="s">
        <v>15</v>
      </c>
      <c r="I245" s="8" t="s">
        <v>29</v>
      </c>
      <c r="J245" s="8" t="s">
        <v>17</v>
      </c>
      <c r="K245" s="8" t="s">
        <v>24</v>
      </c>
      <c r="L245" t="str">
        <f t="shared" si="12"/>
        <v>Unique</v>
      </c>
      <c r="M245" s="8" t="str">
        <f>IF(COUNTIF(Payments_Raw!$B:$B,A245)=0,"Unpaid",IF(N245&gt;=G245,"Paid",IF(N245&gt;0,"Partial Payment",IF(COUNTIFS(Payments_Raw!$B:$B,A245,Payments_Raw!$F:$F,"Failed")&gt;0,"Failed",IF(COUNTIFS(Payments_Raw!$B:$B,A245,Payments_Raw!$F:$F,"Pending")&gt;0,"Pending","Unpaid")))))</f>
        <v>Unpaid</v>
      </c>
      <c r="N245" s="8">
        <f>SUMIFS(Payments_Raw!$E:$E,Payments_Raw!$B:$B,A245,Payments_Raw!$F:$F,"Successful")</f>
        <v>0</v>
      </c>
      <c r="O245" s="26">
        <f t="shared" si="13"/>
        <v>24822.27</v>
      </c>
      <c r="P245" s="9" t="str">
        <f t="shared" si="14"/>
        <v>Unpaid Invoice</v>
      </c>
      <c r="Q245" s="14" t="str">
        <f t="shared" si="15"/>
        <v>Overdue</v>
      </c>
      <c r="R245" s="14"/>
    </row>
    <row r="246" spans="1:18" x14ac:dyDescent="0.25">
      <c r="A246" s="18" t="s">
        <v>773</v>
      </c>
      <c r="B246" s="8" t="s">
        <v>122</v>
      </c>
      <c r="C246" s="8" t="s">
        <v>774</v>
      </c>
      <c r="D246" s="8" t="s">
        <v>775</v>
      </c>
      <c r="E246" s="19">
        <v>46201</v>
      </c>
      <c r="F246" s="19">
        <v>46216</v>
      </c>
      <c r="G246" s="8">
        <v>3071.59</v>
      </c>
      <c r="H246" s="8" t="s">
        <v>15</v>
      </c>
      <c r="I246" s="8" t="s">
        <v>29</v>
      </c>
      <c r="J246" s="8" t="s">
        <v>17</v>
      </c>
      <c r="K246" s="8" t="s">
        <v>18</v>
      </c>
      <c r="L246" t="str">
        <f t="shared" si="12"/>
        <v>Unique</v>
      </c>
      <c r="M246" s="8" t="str">
        <f>IF(COUNTIF(Payments_Raw!$B:$B,A246)=0,"Unpaid",IF(N246&gt;=G246,"Paid",IF(N246&gt;0,"Partial Payment",IF(COUNTIFS(Payments_Raw!$B:$B,A246,Payments_Raw!$F:$F,"Failed")&gt;0,"Failed",IF(COUNTIFS(Payments_Raw!$B:$B,A246,Payments_Raw!$F:$F,"Pending")&gt;0,"Pending","Unpaid")))))</f>
        <v>Unpaid</v>
      </c>
      <c r="N246" s="8">
        <f>SUMIFS(Payments_Raw!$E:$E,Payments_Raw!$B:$B,A246,Payments_Raw!$F:$F,"Successful")</f>
        <v>0</v>
      </c>
      <c r="O246" s="26">
        <f t="shared" si="13"/>
        <v>3071.59</v>
      </c>
      <c r="P246" s="9" t="str">
        <f t="shared" si="14"/>
        <v>Unpaid Invoice</v>
      </c>
      <c r="Q246" s="14" t="str">
        <f t="shared" si="15"/>
        <v>Overdue</v>
      </c>
      <c r="R246" s="14"/>
    </row>
    <row r="247" spans="1:18" x14ac:dyDescent="0.25">
      <c r="A247" s="18" t="s">
        <v>776</v>
      </c>
      <c r="B247" s="8" t="s">
        <v>71</v>
      </c>
      <c r="C247" s="8" t="s">
        <v>777</v>
      </c>
      <c r="D247" s="8" t="s">
        <v>778</v>
      </c>
      <c r="E247" s="19">
        <v>46175</v>
      </c>
      <c r="F247" s="19">
        <v>46190</v>
      </c>
      <c r="G247" s="8">
        <v>11639.54</v>
      </c>
      <c r="H247" s="8" t="s">
        <v>15</v>
      </c>
      <c r="I247" s="8" t="s">
        <v>16</v>
      </c>
      <c r="J247" s="8" t="s">
        <v>17</v>
      </c>
      <c r="K247" s="8" t="s">
        <v>63</v>
      </c>
      <c r="L247" t="str">
        <f t="shared" si="12"/>
        <v>Duplicate</v>
      </c>
      <c r="M247" s="8" t="str">
        <f>IF(COUNTIF(Payments_Raw!$B:$B,A247)=0,"Unpaid",IF(N247&gt;=G247,"Paid",IF(N247&gt;0,"Partial Payment",IF(COUNTIFS(Payments_Raw!$B:$B,A247,Payments_Raw!$F:$F,"Failed")&gt;0,"Failed",IF(COUNTIFS(Payments_Raw!$B:$B,A247,Payments_Raw!$F:$F,"Pending")&gt;0,"Pending","Unpaid")))))</f>
        <v>Paid</v>
      </c>
      <c r="N247" s="8">
        <f>SUMIFS(Payments_Raw!$E:$E,Payments_Raw!$B:$B,A247,Payments_Raw!$F:$F,"Successful")</f>
        <v>11639.54</v>
      </c>
      <c r="O247" s="26">
        <f t="shared" si="13"/>
        <v>0</v>
      </c>
      <c r="P247" s="9" t="str">
        <f t="shared" si="14"/>
        <v>Duplicate Invoice</v>
      </c>
      <c r="Q247" s="14" t="str">
        <f t="shared" si="15"/>
        <v>Not Overdue</v>
      </c>
      <c r="R247" s="14"/>
    </row>
    <row r="248" spans="1:18" x14ac:dyDescent="0.25">
      <c r="A248" s="18" t="s">
        <v>779</v>
      </c>
      <c r="B248" s="8" t="s">
        <v>57</v>
      </c>
      <c r="C248" s="8" t="s">
        <v>780</v>
      </c>
      <c r="D248" s="8" t="s">
        <v>781</v>
      </c>
      <c r="E248" s="19">
        <v>46102</v>
      </c>
      <c r="F248" s="19">
        <v>46147</v>
      </c>
      <c r="G248" s="8">
        <v>6978.17</v>
      </c>
      <c r="H248" s="8" t="s">
        <v>15</v>
      </c>
      <c r="I248" s="8" t="s">
        <v>39</v>
      </c>
      <c r="J248" s="8" t="s">
        <v>17</v>
      </c>
      <c r="K248" s="8" t="s">
        <v>18</v>
      </c>
      <c r="L248" t="str">
        <f t="shared" si="12"/>
        <v>Duplicate</v>
      </c>
      <c r="M248" s="8" t="str">
        <f>IF(COUNTIF(Payments_Raw!$B:$B,A248)=0,"Unpaid",IF(N248&gt;=G248,"Paid",IF(N248&gt;0,"Partial Payment",IF(COUNTIFS(Payments_Raw!$B:$B,A248,Payments_Raw!$F:$F,"Failed")&gt;0,"Failed",IF(COUNTIFS(Payments_Raw!$B:$B,A248,Payments_Raw!$F:$F,"Pending")&gt;0,"Pending","Unpaid")))))</f>
        <v>Unpaid</v>
      </c>
      <c r="N248" s="8">
        <f>SUMIFS(Payments_Raw!$E:$E,Payments_Raw!$B:$B,A248,Payments_Raw!$F:$F,"Successful")</f>
        <v>0</v>
      </c>
      <c r="O248" s="26">
        <f t="shared" si="13"/>
        <v>6978.17</v>
      </c>
      <c r="P248" s="9" t="str">
        <f t="shared" si="14"/>
        <v>Duplicate Invoice</v>
      </c>
      <c r="Q248" s="14" t="str">
        <f t="shared" si="15"/>
        <v>Overdue</v>
      </c>
      <c r="R248" s="14"/>
    </row>
    <row r="249" spans="1:18" x14ac:dyDescent="0.25">
      <c r="A249" s="18" t="s">
        <v>782</v>
      </c>
      <c r="B249" s="8" t="s">
        <v>20</v>
      </c>
      <c r="C249" s="8" t="s">
        <v>783</v>
      </c>
      <c r="D249" s="8" t="s">
        <v>784</v>
      </c>
      <c r="E249" s="19">
        <v>46128</v>
      </c>
      <c r="F249" s="19">
        <v>46143</v>
      </c>
      <c r="G249" s="8">
        <v>1794.2</v>
      </c>
      <c r="H249" s="8" t="s">
        <v>15</v>
      </c>
      <c r="I249" s="8" t="s">
        <v>16</v>
      </c>
      <c r="J249" s="8" t="s">
        <v>17</v>
      </c>
      <c r="K249" s="8" t="s">
        <v>18</v>
      </c>
      <c r="L249" t="str">
        <f t="shared" si="12"/>
        <v>Unique</v>
      </c>
      <c r="M249" s="8" t="str">
        <f>IF(COUNTIF(Payments_Raw!$B:$B,A249)=0,"Unpaid",IF(N249&gt;=G249,"Paid",IF(N249&gt;0,"Partial Payment",IF(COUNTIFS(Payments_Raw!$B:$B,A249,Payments_Raw!$F:$F,"Failed")&gt;0,"Failed",IF(COUNTIFS(Payments_Raw!$B:$B,A249,Payments_Raw!$F:$F,"Pending")&gt;0,"Pending","Unpaid")))))</f>
        <v>Paid</v>
      </c>
      <c r="N249" s="8">
        <f>SUMIFS(Payments_Raw!$E:$E,Payments_Raw!$B:$B,A249,Payments_Raw!$F:$F,"Successful")</f>
        <v>1794.2</v>
      </c>
      <c r="O249" s="26">
        <f t="shared" si="13"/>
        <v>0</v>
      </c>
      <c r="P249" s="9" t="str">
        <f t="shared" si="14"/>
        <v>No Exception</v>
      </c>
      <c r="Q249" s="14" t="str">
        <f t="shared" si="15"/>
        <v>Not Overdue</v>
      </c>
      <c r="R249" s="14"/>
    </row>
    <row r="250" spans="1:18" x14ac:dyDescent="0.25">
      <c r="A250" s="18" t="s">
        <v>785</v>
      </c>
      <c r="B250" s="8" t="s">
        <v>89</v>
      </c>
      <c r="C250" s="8" t="s">
        <v>786</v>
      </c>
      <c r="D250" s="8" t="s">
        <v>787</v>
      </c>
      <c r="E250" s="19">
        <v>46228</v>
      </c>
      <c r="F250" s="19">
        <v>46243</v>
      </c>
      <c r="G250" s="8">
        <v>11041.39</v>
      </c>
      <c r="H250" s="8" t="s">
        <v>15</v>
      </c>
      <c r="I250" s="8" t="s">
        <v>16</v>
      </c>
      <c r="J250" s="8" t="s">
        <v>17</v>
      </c>
      <c r="K250" s="8" t="s">
        <v>24</v>
      </c>
      <c r="L250" t="str">
        <f t="shared" si="12"/>
        <v>Unique</v>
      </c>
      <c r="M250" s="8" t="str">
        <f>IF(COUNTIF(Payments_Raw!$B:$B,A250)=0,"Unpaid",IF(N250&gt;=G250,"Paid",IF(N250&gt;0,"Partial Payment",IF(COUNTIFS(Payments_Raw!$B:$B,A250,Payments_Raw!$F:$F,"Failed")&gt;0,"Failed",IF(COUNTIFS(Payments_Raw!$B:$B,A250,Payments_Raw!$F:$F,"Pending")&gt;0,"Pending","Unpaid")))))</f>
        <v>Paid</v>
      </c>
      <c r="N250" s="8">
        <f>SUMIFS(Payments_Raw!$E:$E,Payments_Raw!$B:$B,A250,Payments_Raw!$F:$F,"Successful")</f>
        <v>11041.39</v>
      </c>
      <c r="O250" s="26">
        <f t="shared" si="13"/>
        <v>0</v>
      </c>
      <c r="P250" s="9" t="str">
        <f t="shared" si="14"/>
        <v>No Exception</v>
      </c>
      <c r="Q250" s="14" t="str">
        <f t="shared" si="15"/>
        <v>Not Overdue</v>
      </c>
      <c r="R250" s="14"/>
    </row>
    <row r="251" spans="1:18" x14ac:dyDescent="0.25">
      <c r="A251" s="18" t="s">
        <v>788</v>
      </c>
      <c r="B251" s="8" t="s">
        <v>170</v>
      </c>
      <c r="C251" s="8" t="s">
        <v>789</v>
      </c>
      <c r="D251" s="8" t="s">
        <v>790</v>
      </c>
      <c r="E251" s="19">
        <v>46186</v>
      </c>
      <c r="F251" s="19">
        <v>46216</v>
      </c>
      <c r="G251" s="8">
        <v>14487.57</v>
      </c>
      <c r="H251" s="8" t="s">
        <v>15</v>
      </c>
      <c r="I251" s="8" t="s">
        <v>16</v>
      </c>
      <c r="J251" s="8" t="s">
        <v>17</v>
      </c>
      <c r="K251" s="8" t="s">
        <v>24</v>
      </c>
      <c r="L251" t="str">
        <f t="shared" si="12"/>
        <v>Unique</v>
      </c>
      <c r="M251" s="8" t="str">
        <f>IF(COUNTIF(Payments_Raw!$B:$B,A251)=0,"Unpaid",IF(N251&gt;=G251,"Paid",IF(N251&gt;0,"Partial Payment",IF(COUNTIFS(Payments_Raw!$B:$B,A251,Payments_Raw!$F:$F,"Failed")&gt;0,"Failed",IF(COUNTIFS(Payments_Raw!$B:$B,A251,Payments_Raw!$F:$F,"Pending")&gt;0,"Pending","Unpaid")))))</f>
        <v>Paid</v>
      </c>
      <c r="N251" s="8">
        <f>SUMIFS(Payments_Raw!$E:$E,Payments_Raw!$B:$B,A251,Payments_Raw!$F:$F,"Successful")</f>
        <v>14487.57</v>
      </c>
      <c r="O251" s="26">
        <f t="shared" si="13"/>
        <v>0</v>
      </c>
      <c r="P251" s="9" t="str">
        <f t="shared" si="14"/>
        <v>No Exception</v>
      </c>
      <c r="Q251" s="14" t="str">
        <f t="shared" si="15"/>
        <v>Not Overdue</v>
      </c>
      <c r="R251" s="14"/>
    </row>
    <row r="252" spans="1:18" x14ac:dyDescent="0.25">
      <c r="A252" s="18" t="s">
        <v>791</v>
      </c>
      <c r="B252" s="8" t="s">
        <v>36</v>
      </c>
      <c r="C252" s="8" t="s">
        <v>792</v>
      </c>
      <c r="D252" s="8" t="s">
        <v>793</v>
      </c>
      <c r="E252" s="19">
        <v>46136</v>
      </c>
      <c r="F252" s="19">
        <v>46166</v>
      </c>
      <c r="G252" s="8">
        <v>10409.379999999999</v>
      </c>
      <c r="H252" s="8" t="s">
        <v>15</v>
      </c>
      <c r="I252" s="8" t="s">
        <v>23</v>
      </c>
      <c r="J252" s="8" t="s">
        <v>17</v>
      </c>
      <c r="K252" s="8" t="s">
        <v>24</v>
      </c>
      <c r="L252" t="str">
        <f t="shared" si="12"/>
        <v>Unique</v>
      </c>
      <c r="M252" s="8" t="str">
        <f>IF(COUNTIF(Payments_Raw!$B:$B,A252)=0,"Unpaid",IF(N252&gt;=G252,"Paid",IF(N252&gt;0,"Partial Payment",IF(COUNTIFS(Payments_Raw!$B:$B,A252,Payments_Raw!$F:$F,"Failed")&gt;0,"Failed",IF(COUNTIFS(Payments_Raw!$B:$B,A252,Payments_Raw!$F:$F,"Pending")&gt;0,"Pending","Unpaid")))))</f>
        <v>Paid</v>
      </c>
      <c r="N252" s="8">
        <f>SUMIFS(Payments_Raw!$E:$E,Payments_Raw!$B:$B,A252,Payments_Raw!$F:$F,"Successful")</f>
        <v>10409.379999999999</v>
      </c>
      <c r="O252" s="26">
        <f t="shared" si="13"/>
        <v>0</v>
      </c>
      <c r="P252" s="9" t="str">
        <f t="shared" si="14"/>
        <v>No Exception</v>
      </c>
      <c r="Q252" s="14" t="str">
        <f t="shared" si="15"/>
        <v>Not Overdue</v>
      </c>
      <c r="R252" s="14"/>
    </row>
    <row r="253" spans="1:18" x14ac:dyDescent="0.25">
      <c r="A253" s="18" t="s">
        <v>794</v>
      </c>
      <c r="B253" s="8" t="s">
        <v>85</v>
      </c>
      <c r="C253" s="8" t="s">
        <v>795</v>
      </c>
      <c r="D253" s="8" t="s">
        <v>796</v>
      </c>
      <c r="E253" s="19">
        <v>46307</v>
      </c>
      <c r="F253" s="19">
        <v>46352</v>
      </c>
      <c r="G253" s="8">
        <v>12451.05</v>
      </c>
      <c r="H253" s="8" t="s">
        <v>15</v>
      </c>
      <c r="I253" s="8" t="s">
        <v>16</v>
      </c>
      <c r="J253" s="8" t="s">
        <v>17</v>
      </c>
      <c r="K253" s="8" t="s">
        <v>24</v>
      </c>
      <c r="L253" t="str">
        <f t="shared" si="12"/>
        <v>Unique</v>
      </c>
      <c r="M253" s="8" t="str">
        <f>IF(COUNTIF(Payments_Raw!$B:$B,A253)=0,"Unpaid",IF(N253&gt;=G253,"Paid",IF(N253&gt;0,"Partial Payment",IF(COUNTIFS(Payments_Raw!$B:$B,A253,Payments_Raw!$F:$F,"Failed")&gt;0,"Failed",IF(COUNTIFS(Payments_Raw!$B:$B,A253,Payments_Raw!$F:$F,"Pending")&gt;0,"Pending","Unpaid")))))</f>
        <v>Failed</v>
      </c>
      <c r="N253" s="8">
        <f>SUMIFS(Payments_Raw!$E:$E,Payments_Raw!$B:$B,A253,Payments_Raw!$F:$F,"Successful")</f>
        <v>0</v>
      </c>
      <c r="O253" s="26">
        <f t="shared" si="13"/>
        <v>12451.05</v>
      </c>
      <c r="P253" s="9" t="str">
        <f t="shared" si="14"/>
        <v>Failed Payment</v>
      </c>
      <c r="Q253" s="14" t="str">
        <f t="shared" si="15"/>
        <v>Overdue</v>
      </c>
      <c r="R253" s="14"/>
    </row>
    <row r="254" spans="1:18" x14ac:dyDescent="0.25">
      <c r="A254" s="18" t="s">
        <v>797</v>
      </c>
      <c r="B254" s="8" t="s">
        <v>85</v>
      </c>
      <c r="C254" s="8" t="s">
        <v>798</v>
      </c>
      <c r="D254" s="8" t="s">
        <v>799</v>
      </c>
      <c r="E254" s="19">
        <v>46232</v>
      </c>
      <c r="F254" s="19">
        <v>46277</v>
      </c>
      <c r="G254" s="8">
        <v>3832.53</v>
      </c>
      <c r="H254" s="8" t="s">
        <v>15</v>
      </c>
      <c r="I254" s="8" t="s">
        <v>16</v>
      </c>
      <c r="J254" s="8" t="s">
        <v>17</v>
      </c>
      <c r="K254" s="8" t="s">
        <v>24</v>
      </c>
      <c r="L254" t="str">
        <f t="shared" si="12"/>
        <v>Unique</v>
      </c>
      <c r="M254" s="8" t="str">
        <f>IF(COUNTIF(Payments_Raw!$B:$B,A254)=0,"Unpaid",IF(N254&gt;=G254,"Paid",IF(N254&gt;0,"Partial Payment",IF(COUNTIFS(Payments_Raw!$B:$B,A254,Payments_Raw!$F:$F,"Failed")&gt;0,"Failed",IF(COUNTIFS(Payments_Raw!$B:$B,A254,Payments_Raw!$F:$F,"Pending")&gt;0,"Pending","Unpaid")))))</f>
        <v>Paid</v>
      </c>
      <c r="N254" s="8">
        <f>SUMIFS(Payments_Raw!$E:$E,Payments_Raw!$B:$B,A254,Payments_Raw!$F:$F,"Successful")</f>
        <v>3832.53</v>
      </c>
      <c r="O254" s="26">
        <f t="shared" si="13"/>
        <v>0</v>
      </c>
      <c r="P254" s="9" t="str">
        <f t="shared" si="14"/>
        <v>No Exception</v>
      </c>
      <c r="Q254" s="14" t="str">
        <f t="shared" si="15"/>
        <v>Not Overdue</v>
      </c>
      <c r="R254" s="14"/>
    </row>
    <row r="255" spans="1:18" x14ac:dyDescent="0.25">
      <c r="A255" s="18" t="s">
        <v>800</v>
      </c>
      <c r="B255" s="8" t="s">
        <v>122</v>
      </c>
      <c r="C255" s="8" t="s">
        <v>801</v>
      </c>
      <c r="D255" s="8" t="s">
        <v>802</v>
      </c>
      <c r="E255" s="19">
        <v>46260</v>
      </c>
      <c r="F255" s="19">
        <v>46275</v>
      </c>
      <c r="G255" s="8">
        <v>22878.76</v>
      </c>
      <c r="H255" s="8" t="s">
        <v>15</v>
      </c>
      <c r="I255" s="8" t="s">
        <v>16</v>
      </c>
      <c r="J255" s="8" t="s">
        <v>17</v>
      </c>
      <c r="K255" s="8" t="s">
        <v>63</v>
      </c>
      <c r="L255" t="str">
        <f t="shared" si="12"/>
        <v>Unique</v>
      </c>
      <c r="M255" s="8" t="str">
        <f>IF(COUNTIF(Payments_Raw!$B:$B,A255)=0,"Unpaid",IF(N255&gt;=G255,"Paid",IF(N255&gt;0,"Partial Payment",IF(COUNTIFS(Payments_Raw!$B:$B,A255,Payments_Raw!$F:$F,"Failed")&gt;0,"Failed",IF(COUNTIFS(Payments_Raw!$B:$B,A255,Payments_Raw!$F:$F,"Pending")&gt;0,"Pending","Unpaid")))))</f>
        <v>Paid</v>
      </c>
      <c r="N255" s="8">
        <f>SUMIFS(Payments_Raw!$E:$E,Payments_Raw!$B:$B,A255,Payments_Raw!$F:$F,"Successful")</f>
        <v>22878.76</v>
      </c>
      <c r="O255" s="26">
        <f t="shared" si="13"/>
        <v>0</v>
      </c>
      <c r="P255" s="9" t="str">
        <f t="shared" si="14"/>
        <v>No Exception</v>
      </c>
      <c r="Q255" s="14" t="str">
        <f t="shared" si="15"/>
        <v>Not Overdue</v>
      </c>
      <c r="R255" s="14"/>
    </row>
    <row r="256" spans="1:18" x14ac:dyDescent="0.25">
      <c r="A256" s="18" t="s">
        <v>803</v>
      </c>
      <c r="B256" s="8" t="s">
        <v>53</v>
      </c>
      <c r="C256" s="8" t="s">
        <v>804</v>
      </c>
      <c r="D256" s="8" t="s">
        <v>805</v>
      </c>
      <c r="E256" s="19">
        <v>46192</v>
      </c>
      <c r="F256" s="19">
        <v>46222</v>
      </c>
      <c r="G256" s="8">
        <v>16210.04</v>
      </c>
      <c r="H256" s="8" t="s">
        <v>15</v>
      </c>
      <c r="I256" s="8" t="s">
        <v>16</v>
      </c>
      <c r="J256" s="8" t="s">
        <v>17</v>
      </c>
      <c r="K256" s="8" t="s">
        <v>18</v>
      </c>
      <c r="L256" t="str">
        <f t="shared" si="12"/>
        <v>Unique</v>
      </c>
      <c r="M256" s="8" t="str">
        <f>IF(COUNTIF(Payments_Raw!$B:$B,A256)=0,"Unpaid",IF(N256&gt;=G256,"Paid",IF(N256&gt;0,"Partial Payment",IF(COUNTIFS(Payments_Raw!$B:$B,A256,Payments_Raw!$F:$F,"Failed")&gt;0,"Failed",IF(COUNTIFS(Payments_Raw!$B:$B,A256,Payments_Raw!$F:$F,"Pending")&gt;0,"Pending","Unpaid")))))</f>
        <v>Paid</v>
      </c>
      <c r="N256" s="8">
        <f>SUMIFS(Payments_Raw!$E:$E,Payments_Raw!$B:$B,A256,Payments_Raw!$F:$F,"Successful")</f>
        <v>16210.04</v>
      </c>
      <c r="O256" s="26">
        <f t="shared" si="13"/>
        <v>0</v>
      </c>
      <c r="P256" s="9" t="str">
        <f t="shared" si="14"/>
        <v>No Exception</v>
      </c>
      <c r="Q256" s="14" t="str">
        <f t="shared" si="15"/>
        <v>Not Overdue</v>
      </c>
      <c r="R256" s="14"/>
    </row>
    <row r="257" spans="1:18" x14ac:dyDescent="0.25">
      <c r="A257" s="18" t="s">
        <v>806</v>
      </c>
      <c r="B257" s="8" t="s">
        <v>49</v>
      </c>
      <c r="C257" s="8" t="s">
        <v>807</v>
      </c>
      <c r="D257" s="8" t="s">
        <v>808</v>
      </c>
      <c r="E257" s="19">
        <v>46216</v>
      </c>
      <c r="F257" s="19">
        <v>46246</v>
      </c>
      <c r="G257" s="8">
        <v>16880.96</v>
      </c>
      <c r="H257" s="8" t="s">
        <v>15</v>
      </c>
      <c r="I257" s="8" t="s">
        <v>39</v>
      </c>
      <c r="J257" s="8" t="s">
        <v>17</v>
      </c>
      <c r="K257" s="8" t="s">
        <v>24</v>
      </c>
      <c r="L257" t="str">
        <f t="shared" si="12"/>
        <v>Unique</v>
      </c>
      <c r="M257" s="8" t="str">
        <f>IF(COUNTIF(Payments_Raw!$B:$B,A257)=0,"Unpaid",IF(N257&gt;=G257,"Paid",IF(N257&gt;0,"Partial Payment",IF(COUNTIFS(Payments_Raw!$B:$B,A257,Payments_Raw!$F:$F,"Failed")&gt;0,"Failed",IF(COUNTIFS(Payments_Raw!$B:$B,A257,Payments_Raw!$F:$F,"Pending")&gt;0,"Pending","Unpaid")))))</f>
        <v>Paid</v>
      </c>
      <c r="N257" s="8">
        <f>SUMIFS(Payments_Raw!$E:$E,Payments_Raw!$B:$B,A257,Payments_Raw!$F:$F,"Successful")</f>
        <v>16880.96</v>
      </c>
      <c r="O257" s="26">
        <f t="shared" si="13"/>
        <v>0</v>
      </c>
      <c r="P257" s="9" t="str">
        <f t="shared" si="14"/>
        <v>No Exception</v>
      </c>
      <c r="Q257" s="14" t="str">
        <f t="shared" si="15"/>
        <v>Not Overdue</v>
      </c>
      <c r="R257" s="14"/>
    </row>
    <row r="258" spans="1:18" x14ac:dyDescent="0.25">
      <c r="A258" s="18" t="s">
        <v>809</v>
      </c>
      <c r="B258" s="8" t="s">
        <v>32</v>
      </c>
      <c r="C258" s="8" t="s">
        <v>810</v>
      </c>
      <c r="D258" s="8" t="s">
        <v>811</v>
      </c>
      <c r="E258" s="19">
        <v>46134</v>
      </c>
      <c r="F258" s="19">
        <v>46164</v>
      </c>
      <c r="G258" s="8">
        <v>12047.33</v>
      </c>
      <c r="H258" s="8" t="s">
        <v>15</v>
      </c>
      <c r="I258" s="8" t="s">
        <v>23</v>
      </c>
      <c r="J258" s="8" t="s">
        <v>30</v>
      </c>
      <c r="K258" s="8" t="s">
        <v>18</v>
      </c>
      <c r="L258" t="str">
        <f t="shared" si="12"/>
        <v>Unique</v>
      </c>
      <c r="M258" s="8" t="str">
        <f>IF(COUNTIF(Payments_Raw!$B:$B,A258)=0,"Unpaid",IF(N258&gt;=G258,"Paid",IF(N258&gt;0,"Partial Payment",IF(COUNTIFS(Payments_Raw!$B:$B,A258,Payments_Raw!$F:$F,"Failed")&gt;0,"Failed",IF(COUNTIFS(Payments_Raw!$B:$B,A258,Payments_Raw!$F:$F,"Pending")&gt;0,"Pending","Unpaid")))))</f>
        <v>Paid</v>
      </c>
      <c r="N258" s="8">
        <f>SUMIFS(Payments_Raw!$E:$E,Payments_Raw!$B:$B,A258,Payments_Raw!$F:$F,"Successful")</f>
        <v>12047.33</v>
      </c>
      <c r="O258" s="26">
        <f t="shared" si="13"/>
        <v>0</v>
      </c>
      <c r="P258" s="9" t="str">
        <f t="shared" si="14"/>
        <v>No Exception</v>
      </c>
      <c r="Q258" s="14" t="str">
        <f t="shared" si="15"/>
        <v>Not Overdue</v>
      </c>
      <c r="R258" s="14"/>
    </row>
    <row r="259" spans="1:18" x14ac:dyDescent="0.25">
      <c r="A259" s="18" t="s">
        <v>812</v>
      </c>
      <c r="B259" s="8" t="s">
        <v>45</v>
      </c>
      <c r="C259" s="8" t="s">
        <v>813</v>
      </c>
      <c r="D259" s="8" t="s">
        <v>814</v>
      </c>
      <c r="E259" s="19">
        <v>46268</v>
      </c>
      <c r="F259" s="19">
        <v>46298</v>
      </c>
      <c r="G259" s="8">
        <v>22871.3</v>
      </c>
      <c r="H259" s="8" t="s">
        <v>15</v>
      </c>
      <c r="I259" s="8" t="s">
        <v>23</v>
      </c>
      <c r="J259" s="8" t="s">
        <v>17</v>
      </c>
      <c r="K259" s="8" t="s">
        <v>63</v>
      </c>
      <c r="L259" t="str">
        <f t="shared" ref="L259:L322" si="16">IF(COUNTIFS($B:$B,B259,$C:$C,C259)&gt;1,"Duplicate","Unique")</f>
        <v>Unique</v>
      </c>
      <c r="M259" s="8" t="str">
        <f>IF(COUNTIF(Payments_Raw!$B:$B,A259)=0,"Unpaid",IF(N259&gt;=G259,"Paid",IF(N259&gt;0,"Partial Payment",IF(COUNTIFS(Payments_Raw!$B:$B,A259,Payments_Raw!$F:$F,"Failed")&gt;0,"Failed",IF(COUNTIFS(Payments_Raw!$B:$B,A259,Payments_Raw!$F:$F,"Pending")&gt;0,"Pending","Unpaid")))))</f>
        <v>Unpaid</v>
      </c>
      <c r="N259" s="8">
        <f>SUMIFS(Payments_Raw!$E:$E,Payments_Raw!$B:$B,A259,Payments_Raw!$F:$F,"Successful")</f>
        <v>0</v>
      </c>
      <c r="O259" s="26">
        <f t="shared" ref="O259:O322" si="17">G259-N259</f>
        <v>22871.3</v>
      </c>
      <c r="P259" s="9" t="str">
        <f t="shared" ref="P259:P322" si="18">IF(L259="Duplicate","Duplicate Invoice",IF(M259="Failed","Failed Payment",IF(M259="Pending","Pending Payment",IF(M259="Unpaid","Unpaid Invoice",IF(M259="Partial Payment","Amount Mismatch","No Exception")))))</f>
        <v>Unpaid Invoice</v>
      </c>
      <c r="Q259" s="14" t="str">
        <f t="shared" ref="Q259:Q322" si="19">IF(AND(G259&lt;DATE(2026,10,14),M259&lt;&gt;"Paid"),"Overdue","Not Overdue")</f>
        <v>Overdue</v>
      </c>
      <c r="R259" s="14"/>
    </row>
    <row r="260" spans="1:18" x14ac:dyDescent="0.25">
      <c r="A260" s="18" t="s">
        <v>815</v>
      </c>
      <c r="B260" s="8" t="s">
        <v>41</v>
      </c>
      <c r="C260" s="8" t="s">
        <v>816</v>
      </c>
      <c r="D260" s="8" t="s">
        <v>817</v>
      </c>
      <c r="E260" s="19">
        <v>46261</v>
      </c>
      <c r="F260" s="19">
        <v>46276</v>
      </c>
      <c r="G260" s="8">
        <v>13397.22</v>
      </c>
      <c r="H260" s="8" t="s">
        <v>15</v>
      </c>
      <c r="I260" s="8" t="s">
        <v>16</v>
      </c>
      <c r="J260" s="8" t="s">
        <v>17</v>
      </c>
      <c r="K260" s="8" t="s">
        <v>18</v>
      </c>
      <c r="L260" t="str">
        <f t="shared" si="16"/>
        <v>Unique</v>
      </c>
      <c r="M260" s="8" t="str">
        <f>IF(COUNTIF(Payments_Raw!$B:$B,A260)=0,"Unpaid",IF(N260&gt;=G260,"Paid",IF(N260&gt;0,"Partial Payment",IF(COUNTIFS(Payments_Raw!$B:$B,A260,Payments_Raw!$F:$F,"Failed")&gt;0,"Failed",IF(COUNTIFS(Payments_Raw!$B:$B,A260,Payments_Raw!$F:$F,"Pending")&gt;0,"Pending","Unpaid")))))</f>
        <v>Unpaid</v>
      </c>
      <c r="N260" s="8">
        <f>SUMIFS(Payments_Raw!$E:$E,Payments_Raw!$B:$B,A260,Payments_Raw!$F:$F,"Successful")</f>
        <v>0</v>
      </c>
      <c r="O260" s="26">
        <f t="shared" si="17"/>
        <v>13397.22</v>
      </c>
      <c r="P260" s="9" t="str">
        <f t="shared" si="18"/>
        <v>Unpaid Invoice</v>
      </c>
      <c r="Q260" s="14" t="str">
        <f t="shared" si="19"/>
        <v>Overdue</v>
      </c>
      <c r="R260" s="14"/>
    </row>
    <row r="261" spans="1:18" x14ac:dyDescent="0.25">
      <c r="A261" s="18" t="s">
        <v>818</v>
      </c>
      <c r="B261" s="8" t="s">
        <v>75</v>
      </c>
      <c r="C261" s="8" t="s">
        <v>819</v>
      </c>
      <c r="D261" s="8" t="s">
        <v>820</v>
      </c>
      <c r="E261" s="19">
        <v>46186</v>
      </c>
      <c r="F261" s="19">
        <v>46201</v>
      </c>
      <c r="G261" s="8">
        <v>22868.54</v>
      </c>
      <c r="H261" s="8" t="s">
        <v>15</v>
      </c>
      <c r="I261" s="8" t="s">
        <v>16</v>
      </c>
      <c r="J261" s="8" t="s">
        <v>17</v>
      </c>
      <c r="K261" s="8" t="s">
        <v>18</v>
      </c>
      <c r="L261" t="str">
        <f t="shared" si="16"/>
        <v>Unique</v>
      </c>
      <c r="M261" s="8" t="str">
        <f>IF(COUNTIF(Payments_Raw!$B:$B,A261)=0,"Unpaid",IF(N261&gt;=G261,"Paid",IF(N261&gt;0,"Partial Payment",IF(COUNTIFS(Payments_Raw!$B:$B,A261,Payments_Raw!$F:$F,"Failed")&gt;0,"Failed",IF(COUNTIFS(Payments_Raw!$B:$B,A261,Payments_Raw!$F:$F,"Pending")&gt;0,"Pending","Unpaid")))))</f>
        <v>Paid</v>
      </c>
      <c r="N261" s="8">
        <f>SUMIFS(Payments_Raw!$E:$E,Payments_Raw!$B:$B,A261,Payments_Raw!$F:$F,"Successful")</f>
        <v>22868.54</v>
      </c>
      <c r="O261" s="26">
        <f t="shared" si="17"/>
        <v>0</v>
      </c>
      <c r="P261" s="9" t="str">
        <f t="shared" si="18"/>
        <v>No Exception</v>
      </c>
      <c r="Q261" s="14" t="str">
        <f t="shared" si="19"/>
        <v>Not Overdue</v>
      </c>
      <c r="R261" s="14"/>
    </row>
    <row r="262" spans="1:18" x14ac:dyDescent="0.25">
      <c r="A262" s="18" t="s">
        <v>821</v>
      </c>
      <c r="B262" s="8" t="s">
        <v>71</v>
      </c>
      <c r="C262" s="8" t="s">
        <v>822</v>
      </c>
      <c r="D262" s="8" t="s">
        <v>823</v>
      </c>
      <c r="E262" s="19">
        <v>46156</v>
      </c>
      <c r="F262" s="19">
        <v>46171</v>
      </c>
      <c r="G262" s="8">
        <v>13886.39</v>
      </c>
      <c r="H262" s="8" t="s">
        <v>15</v>
      </c>
      <c r="I262" s="8" t="s">
        <v>29</v>
      </c>
      <c r="J262" s="8" t="s">
        <v>17</v>
      </c>
      <c r="K262" s="8" t="s">
        <v>63</v>
      </c>
      <c r="L262" t="str">
        <f t="shared" si="16"/>
        <v>Unique</v>
      </c>
      <c r="M262" s="8" t="str">
        <f>IF(COUNTIF(Payments_Raw!$B:$B,A262)=0,"Unpaid",IF(N262&gt;=G262,"Paid",IF(N262&gt;0,"Partial Payment",IF(COUNTIFS(Payments_Raw!$B:$B,A262,Payments_Raw!$F:$F,"Failed")&gt;0,"Failed",IF(COUNTIFS(Payments_Raw!$B:$B,A262,Payments_Raw!$F:$F,"Pending")&gt;0,"Pending","Unpaid")))))</f>
        <v>Pending</v>
      </c>
      <c r="N262" s="8">
        <f>SUMIFS(Payments_Raw!$E:$E,Payments_Raw!$B:$B,A262,Payments_Raw!$F:$F,"Successful")</f>
        <v>0</v>
      </c>
      <c r="O262" s="26">
        <f t="shared" si="17"/>
        <v>13886.39</v>
      </c>
      <c r="P262" s="9" t="str">
        <f t="shared" si="18"/>
        <v>Pending Payment</v>
      </c>
      <c r="Q262" s="14" t="str">
        <f t="shared" si="19"/>
        <v>Overdue</v>
      </c>
      <c r="R262" s="14"/>
    </row>
    <row r="263" spans="1:18" x14ac:dyDescent="0.25">
      <c r="A263" s="18" t="s">
        <v>824</v>
      </c>
      <c r="B263" s="8" t="s">
        <v>170</v>
      </c>
      <c r="C263" s="8" t="s">
        <v>825</v>
      </c>
      <c r="D263" s="8" t="s">
        <v>826</v>
      </c>
      <c r="E263" s="19">
        <v>46148</v>
      </c>
      <c r="F263" s="19">
        <v>46178</v>
      </c>
      <c r="G263" s="8">
        <v>12542.62</v>
      </c>
      <c r="H263" s="8" t="s">
        <v>15</v>
      </c>
      <c r="I263" s="8" t="s">
        <v>16</v>
      </c>
      <c r="J263" s="8" t="s">
        <v>17</v>
      </c>
      <c r="K263" s="8" t="s">
        <v>24</v>
      </c>
      <c r="L263" t="str">
        <f t="shared" si="16"/>
        <v>Unique</v>
      </c>
      <c r="M263" s="8" t="str">
        <f>IF(COUNTIF(Payments_Raw!$B:$B,A263)=0,"Unpaid",IF(N263&gt;=G263,"Paid",IF(N263&gt;0,"Partial Payment",IF(COUNTIFS(Payments_Raw!$B:$B,A263,Payments_Raw!$F:$F,"Failed")&gt;0,"Failed",IF(COUNTIFS(Payments_Raw!$B:$B,A263,Payments_Raw!$F:$F,"Pending")&gt;0,"Pending","Unpaid")))))</f>
        <v>Paid</v>
      </c>
      <c r="N263" s="8">
        <f>SUMIFS(Payments_Raw!$E:$E,Payments_Raw!$B:$B,A263,Payments_Raw!$F:$F,"Successful")</f>
        <v>12542.62</v>
      </c>
      <c r="O263" s="26">
        <f t="shared" si="17"/>
        <v>0</v>
      </c>
      <c r="P263" s="9" t="str">
        <f t="shared" si="18"/>
        <v>No Exception</v>
      </c>
      <c r="Q263" s="14" t="str">
        <f t="shared" si="19"/>
        <v>Not Overdue</v>
      </c>
      <c r="R263" s="14"/>
    </row>
    <row r="264" spans="1:18" x14ac:dyDescent="0.25">
      <c r="A264" s="18" t="s">
        <v>827</v>
      </c>
      <c r="B264" s="8" t="s">
        <v>75</v>
      </c>
      <c r="C264" s="8" t="s">
        <v>828</v>
      </c>
      <c r="D264" s="8" t="s">
        <v>829</v>
      </c>
      <c r="E264" s="19">
        <v>46258</v>
      </c>
      <c r="F264" s="19">
        <v>46273</v>
      </c>
      <c r="G264" s="8">
        <v>4305.6499999999996</v>
      </c>
      <c r="H264" s="8" t="s">
        <v>15</v>
      </c>
      <c r="I264" s="8" t="s">
        <v>39</v>
      </c>
      <c r="J264" s="8" t="s">
        <v>17</v>
      </c>
      <c r="K264" s="8" t="s">
        <v>24</v>
      </c>
      <c r="L264" t="str">
        <f t="shared" si="16"/>
        <v>Unique</v>
      </c>
      <c r="M264" s="8" t="str">
        <f>IF(COUNTIF(Payments_Raw!$B:$B,A264)=0,"Unpaid",IF(N264&gt;=G264,"Paid",IF(N264&gt;0,"Partial Payment",IF(COUNTIFS(Payments_Raw!$B:$B,A264,Payments_Raw!$F:$F,"Failed")&gt;0,"Failed",IF(COUNTIFS(Payments_Raw!$B:$B,A264,Payments_Raw!$F:$F,"Pending")&gt;0,"Pending","Unpaid")))))</f>
        <v>Paid</v>
      </c>
      <c r="N264" s="8">
        <f>SUMIFS(Payments_Raw!$E:$E,Payments_Raw!$B:$B,A264,Payments_Raw!$F:$F,"Successful")</f>
        <v>4305.6499999999996</v>
      </c>
      <c r="O264" s="26">
        <f t="shared" si="17"/>
        <v>0</v>
      </c>
      <c r="P264" s="9" t="str">
        <f t="shared" si="18"/>
        <v>No Exception</v>
      </c>
      <c r="Q264" s="14" t="str">
        <f t="shared" si="19"/>
        <v>Not Overdue</v>
      </c>
      <c r="R264" s="14"/>
    </row>
    <row r="265" spans="1:18" x14ac:dyDescent="0.25">
      <c r="A265" s="18" t="s">
        <v>830</v>
      </c>
      <c r="B265" s="8" t="s">
        <v>89</v>
      </c>
      <c r="C265" s="8" t="s">
        <v>831</v>
      </c>
      <c r="D265" s="8" t="s">
        <v>832</v>
      </c>
      <c r="E265" s="19">
        <v>46291</v>
      </c>
      <c r="F265" s="19">
        <v>46306</v>
      </c>
      <c r="G265" s="8">
        <v>961.54</v>
      </c>
      <c r="H265" s="8" t="s">
        <v>15</v>
      </c>
      <c r="I265" s="8" t="s">
        <v>39</v>
      </c>
      <c r="J265" s="8" t="s">
        <v>17</v>
      </c>
      <c r="K265" s="8" t="s">
        <v>24</v>
      </c>
      <c r="L265" t="str">
        <f t="shared" si="16"/>
        <v>Unique</v>
      </c>
      <c r="M265" s="8" t="str">
        <f>IF(COUNTIF(Payments_Raw!$B:$B,A265)=0,"Unpaid",IF(N265&gt;=G265,"Paid",IF(N265&gt;0,"Partial Payment",IF(COUNTIFS(Payments_Raw!$B:$B,A265,Payments_Raw!$F:$F,"Failed")&gt;0,"Failed",IF(COUNTIFS(Payments_Raw!$B:$B,A265,Payments_Raw!$F:$F,"Pending")&gt;0,"Pending","Unpaid")))))</f>
        <v>Paid</v>
      </c>
      <c r="N265" s="8">
        <f>SUMIFS(Payments_Raw!$E:$E,Payments_Raw!$B:$B,A265,Payments_Raw!$F:$F,"Successful")</f>
        <v>961.54</v>
      </c>
      <c r="O265" s="26">
        <f t="shared" si="17"/>
        <v>0</v>
      </c>
      <c r="P265" s="9" t="str">
        <f t="shared" si="18"/>
        <v>No Exception</v>
      </c>
      <c r="Q265" s="14" t="str">
        <f t="shared" si="19"/>
        <v>Not Overdue</v>
      </c>
      <c r="R265" s="14"/>
    </row>
    <row r="266" spans="1:18" x14ac:dyDescent="0.25">
      <c r="A266" s="18" t="s">
        <v>833</v>
      </c>
      <c r="B266" s="8" t="s">
        <v>20</v>
      </c>
      <c r="C266" s="8" t="s">
        <v>834</v>
      </c>
      <c r="D266" s="8" t="s">
        <v>835</v>
      </c>
      <c r="E266" s="19">
        <v>46057</v>
      </c>
      <c r="F266" s="19">
        <v>46072</v>
      </c>
      <c r="G266" s="8">
        <v>42700.65</v>
      </c>
      <c r="H266" s="8" t="s">
        <v>15</v>
      </c>
      <c r="I266" s="8" t="s">
        <v>16</v>
      </c>
      <c r="J266" s="8" t="s">
        <v>17</v>
      </c>
      <c r="K266" s="8" t="s">
        <v>24</v>
      </c>
      <c r="L266" t="str">
        <f t="shared" si="16"/>
        <v>Unique</v>
      </c>
      <c r="M266" s="8" t="str">
        <f>IF(COUNTIF(Payments_Raw!$B:$B,A266)=0,"Unpaid",IF(N266&gt;=G266,"Paid",IF(N266&gt;0,"Partial Payment",IF(COUNTIFS(Payments_Raw!$B:$B,A266,Payments_Raw!$F:$F,"Failed")&gt;0,"Failed",IF(COUNTIFS(Payments_Raw!$B:$B,A266,Payments_Raw!$F:$F,"Pending")&gt;0,"Pending","Unpaid")))))</f>
        <v>Paid</v>
      </c>
      <c r="N266" s="8">
        <f>SUMIFS(Payments_Raw!$E:$E,Payments_Raw!$B:$B,A266,Payments_Raw!$F:$F,"Successful")</f>
        <v>42700.65</v>
      </c>
      <c r="O266" s="26">
        <f t="shared" si="17"/>
        <v>0</v>
      </c>
      <c r="P266" s="9" t="str">
        <f t="shared" si="18"/>
        <v>No Exception</v>
      </c>
      <c r="Q266" s="14" t="str">
        <f t="shared" si="19"/>
        <v>Not Overdue</v>
      </c>
      <c r="R266" s="14"/>
    </row>
    <row r="267" spans="1:18" x14ac:dyDescent="0.25">
      <c r="A267" s="18" t="s">
        <v>836</v>
      </c>
      <c r="B267" s="8" t="s">
        <v>75</v>
      </c>
      <c r="C267" s="8" t="s">
        <v>837</v>
      </c>
      <c r="D267" s="8" t="s">
        <v>838</v>
      </c>
      <c r="E267" s="19">
        <v>46272</v>
      </c>
      <c r="F267" s="19">
        <v>46287</v>
      </c>
      <c r="G267" s="8">
        <v>511.41</v>
      </c>
      <c r="H267" s="8" t="s">
        <v>15</v>
      </c>
      <c r="I267" s="8" t="s">
        <v>29</v>
      </c>
      <c r="J267" s="8" t="s">
        <v>17</v>
      </c>
      <c r="K267" s="8" t="s">
        <v>24</v>
      </c>
      <c r="L267" t="str">
        <f t="shared" si="16"/>
        <v>Unique</v>
      </c>
      <c r="M267" s="8" t="str">
        <f>IF(COUNTIF(Payments_Raw!$B:$B,A267)=0,"Unpaid",IF(N267&gt;=G267,"Paid",IF(N267&gt;0,"Partial Payment",IF(COUNTIFS(Payments_Raw!$B:$B,A267,Payments_Raw!$F:$F,"Failed")&gt;0,"Failed",IF(COUNTIFS(Payments_Raw!$B:$B,A267,Payments_Raw!$F:$F,"Pending")&gt;0,"Pending","Unpaid")))))</f>
        <v>Partial Payment</v>
      </c>
      <c r="N267" s="8">
        <f>SUMIFS(Payments_Raw!$E:$E,Payments_Raw!$B:$B,A267,Payments_Raw!$F:$F,"Successful")</f>
        <v>485.84</v>
      </c>
      <c r="O267" s="26">
        <f t="shared" si="17"/>
        <v>25.57000000000005</v>
      </c>
      <c r="P267" s="9" t="str">
        <f t="shared" si="18"/>
        <v>Amount Mismatch</v>
      </c>
      <c r="Q267" s="14" t="str">
        <f t="shared" si="19"/>
        <v>Overdue</v>
      </c>
      <c r="R267" s="14"/>
    </row>
    <row r="268" spans="1:18" x14ac:dyDescent="0.25">
      <c r="A268" s="18" t="s">
        <v>839</v>
      </c>
      <c r="B268" s="8" t="s">
        <v>163</v>
      </c>
      <c r="C268" s="8" t="s">
        <v>840</v>
      </c>
      <c r="D268" s="8" t="s">
        <v>841</v>
      </c>
      <c r="E268" s="19">
        <v>46031</v>
      </c>
      <c r="F268" s="19">
        <v>46046</v>
      </c>
      <c r="G268" s="8">
        <v>12615.13</v>
      </c>
      <c r="H268" s="8" t="s">
        <v>15</v>
      </c>
      <c r="I268" s="8" t="s">
        <v>23</v>
      </c>
      <c r="J268" s="8" t="s">
        <v>17</v>
      </c>
      <c r="K268" s="8" t="s">
        <v>18</v>
      </c>
      <c r="L268" t="str">
        <f t="shared" si="16"/>
        <v>Unique</v>
      </c>
      <c r="M268" s="8" t="str">
        <f>IF(COUNTIF(Payments_Raw!$B:$B,A268)=0,"Unpaid",IF(N268&gt;=G268,"Paid",IF(N268&gt;0,"Partial Payment",IF(COUNTIFS(Payments_Raw!$B:$B,A268,Payments_Raw!$F:$F,"Failed")&gt;0,"Failed",IF(COUNTIFS(Payments_Raw!$B:$B,A268,Payments_Raw!$F:$F,"Pending")&gt;0,"Pending","Unpaid")))))</f>
        <v>Unpaid</v>
      </c>
      <c r="N268" s="8">
        <f>SUMIFS(Payments_Raw!$E:$E,Payments_Raw!$B:$B,A268,Payments_Raw!$F:$F,"Successful")</f>
        <v>0</v>
      </c>
      <c r="O268" s="26">
        <f t="shared" si="17"/>
        <v>12615.13</v>
      </c>
      <c r="P268" s="9" t="str">
        <f t="shared" si="18"/>
        <v>Unpaid Invoice</v>
      </c>
      <c r="Q268" s="14" t="str">
        <f t="shared" si="19"/>
        <v>Overdue</v>
      </c>
      <c r="R268" s="14"/>
    </row>
    <row r="269" spans="1:18" x14ac:dyDescent="0.25">
      <c r="A269" s="18" t="s">
        <v>842</v>
      </c>
      <c r="B269" s="8" t="s">
        <v>36</v>
      </c>
      <c r="C269" s="8" t="s">
        <v>843</v>
      </c>
      <c r="D269" s="8" t="s">
        <v>844</v>
      </c>
      <c r="E269" s="19">
        <v>46099</v>
      </c>
      <c r="F269" s="19">
        <v>46129</v>
      </c>
      <c r="G269" s="8">
        <v>6115.3</v>
      </c>
      <c r="H269" s="8" t="s">
        <v>15</v>
      </c>
      <c r="I269" s="8" t="s">
        <v>16</v>
      </c>
      <c r="J269" s="8" t="s">
        <v>17</v>
      </c>
      <c r="K269" s="8" t="s">
        <v>18</v>
      </c>
      <c r="L269" t="str">
        <f t="shared" si="16"/>
        <v>Unique</v>
      </c>
      <c r="M269" s="8" t="str">
        <f>IF(COUNTIF(Payments_Raw!$B:$B,A269)=0,"Unpaid",IF(N269&gt;=G269,"Paid",IF(N269&gt;0,"Partial Payment",IF(COUNTIFS(Payments_Raw!$B:$B,A269,Payments_Raw!$F:$F,"Failed")&gt;0,"Failed",IF(COUNTIFS(Payments_Raw!$B:$B,A269,Payments_Raw!$F:$F,"Pending")&gt;0,"Pending","Unpaid")))))</f>
        <v>Unpaid</v>
      </c>
      <c r="N269" s="8">
        <f>SUMIFS(Payments_Raw!$E:$E,Payments_Raw!$B:$B,A269,Payments_Raw!$F:$F,"Successful")</f>
        <v>0</v>
      </c>
      <c r="O269" s="26">
        <f t="shared" si="17"/>
        <v>6115.3</v>
      </c>
      <c r="P269" s="9" t="str">
        <f t="shared" si="18"/>
        <v>Unpaid Invoice</v>
      </c>
      <c r="Q269" s="14" t="str">
        <f t="shared" si="19"/>
        <v>Overdue</v>
      </c>
      <c r="R269" s="14"/>
    </row>
    <row r="270" spans="1:18" x14ac:dyDescent="0.25">
      <c r="A270" s="18" t="s">
        <v>845</v>
      </c>
      <c r="B270" s="8" t="s">
        <v>57</v>
      </c>
      <c r="C270" s="8" t="s">
        <v>846</v>
      </c>
      <c r="D270" s="8" t="s">
        <v>847</v>
      </c>
      <c r="E270" s="19">
        <v>46230</v>
      </c>
      <c r="F270" s="19">
        <v>46275</v>
      </c>
      <c r="G270" s="8">
        <v>11539.86</v>
      </c>
      <c r="H270" s="8" t="s">
        <v>15</v>
      </c>
      <c r="I270" s="8" t="s">
        <v>39</v>
      </c>
      <c r="J270" s="8" t="s">
        <v>17</v>
      </c>
      <c r="K270" s="8" t="s">
        <v>24</v>
      </c>
      <c r="L270" t="str">
        <f t="shared" si="16"/>
        <v>Unique</v>
      </c>
      <c r="M270" s="8" t="str">
        <f>IF(COUNTIF(Payments_Raw!$B:$B,A270)=0,"Unpaid",IF(N270&gt;=G270,"Paid",IF(N270&gt;0,"Partial Payment",IF(COUNTIFS(Payments_Raw!$B:$B,A270,Payments_Raw!$F:$F,"Failed")&gt;0,"Failed",IF(COUNTIFS(Payments_Raw!$B:$B,A270,Payments_Raw!$F:$F,"Pending")&gt;0,"Pending","Unpaid")))))</f>
        <v>Paid</v>
      </c>
      <c r="N270" s="8">
        <f>SUMIFS(Payments_Raw!$E:$E,Payments_Raw!$B:$B,A270,Payments_Raw!$F:$F,"Successful")</f>
        <v>11539.86</v>
      </c>
      <c r="O270" s="26">
        <f t="shared" si="17"/>
        <v>0</v>
      </c>
      <c r="P270" s="9" t="str">
        <f t="shared" si="18"/>
        <v>No Exception</v>
      </c>
      <c r="Q270" s="14" t="str">
        <f t="shared" si="19"/>
        <v>Not Overdue</v>
      </c>
      <c r="R270" s="14"/>
    </row>
    <row r="271" spans="1:18" x14ac:dyDescent="0.25">
      <c r="A271" s="18" t="s">
        <v>848</v>
      </c>
      <c r="B271" s="8" t="s">
        <v>89</v>
      </c>
      <c r="C271" s="8" t="s">
        <v>849</v>
      </c>
      <c r="D271" s="8" t="s">
        <v>850</v>
      </c>
      <c r="E271" s="19">
        <v>46070</v>
      </c>
      <c r="F271" s="19">
        <v>46085</v>
      </c>
      <c r="G271" s="8">
        <v>10203.32</v>
      </c>
      <c r="H271" s="8" t="s">
        <v>15</v>
      </c>
      <c r="I271" s="8" t="s">
        <v>16</v>
      </c>
      <c r="J271" s="8" t="s">
        <v>17</v>
      </c>
      <c r="K271" s="8" t="s">
        <v>18</v>
      </c>
      <c r="L271" t="str">
        <f t="shared" si="16"/>
        <v>Unique</v>
      </c>
      <c r="M271" s="8" t="str">
        <f>IF(COUNTIF(Payments_Raw!$B:$B,A271)=0,"Unpaid",IF(N271&gt;=G271,"Paid",IF(N271&gt;0,"Partial Payment",IF(COUNTIFS(Payments_Raw!$B:$B,A271,Payments_Raw!$F:$F,"Failed")&gt;0,"Failed",IF(COUNTIFS(Payments_Raw!$B:$B,A271,Payments_Raw!$F:$F,"Pending")&gt;0,"Pending","Unpaid")))))</f>
        <v>Paid</v>
      </c>
      <c r="N271" s="8">
        <f>SUMIFS(Payments_Raw!$E:$E,Payments_Raw!$B:$B,A271,Payments_Raw!$F:$F,"Successful")</f>
        <v>10203.32</v>
      </c>
      <c r="O271" s="26">
        <f t="shared" si="17"/>
        <v>0</v>
      </c>
      <c r="P271" s="9" t="str">
        <f t="shared" si="18"/>
        <v>No Exception</v>
      </c>
      <c r="Q271" s="14" t="str">
        <f t="shared" si="19"/>
        <v>Not Overdue</v>
      </c>
      <c r="R271" s="14"/>
    </row>
    <row r="272" spans="1:18" x14ac:dyDescent="0.25">
      <c r="A272" s="18" t="s">
        <v>851</v>
      </c>
      <c r="B272" s="8" t="s">
        <v>75</v>
      </c>
      <c r="C272" s="8" t="s">
        <v>852</v>
      </c>
      <c r="D272" s="8" t="s">
        <v>853</v>
      </c>
      <c r="E272" s="19">
        <v>46245</v>
      </c>
      <c r="F272" s="19">
        <v>46260</v>
      </c>
      <c r="G272" s="8">
        <v>16165.29</v>
      </c>
      <c r="H272" s="8" t="s">
        <v>15</v>
      </c>
      <c r="I272" s="8" t="s">
        <v>23</v>
      </c>
      <c r="J272" s="8" t="s">
        <v>17</v>
      </c>
      <c r="K272" s="8" t="s">
        <v>24</v>
      </c>
      <c r="L272" t="str">
        <f t="shared" si="16"/>
        <v>Unique</v>
      </c>
      <c r="M272" s="8" t="str">
        <f>IF(COUNTIF(Payments_Raw!$B:$B,A272)=0,"Unpaid",IF(N272&gt;=G272,"Paid",IF(N272&gt;0,"Partial Payment",IF(COUNTIFS(Payments_Raw!$B:$B,A272,Payments_Raw!$F:$F,"Failed")&gt;0,"Failed",IF(COUNTIFS(Payments_Raw!$B:$B,A272,Payments_Raw!$F:$F,"Pending")&gt;0,"Pending","Unpaid")))))</f>
        <v>Unpaid</v>
      </c>
      <c r="N272" s="8">
        <f>SUMIFS(Payments_Raw!$E:$E,Payments_Raw!$B:$B,A272,Payments_Raw!$F:$F,"Successful")</f>
        <v>0</v>
      </c>
      <c r="O272" s="26">
        <f t="shared" si="17"/>
        <v>16165.29</v>
      </c>
      <c r="P272" s="9" t="str">
        <f t="shared" si="18"/>
        <v>Unpaid Invoice</v>
      </c>
      <c r="Q272" s="14" t="str">
        <f t="shared" si="19"/>
        <v>Overdue</v>
      </c>
      <c r="R272" s="14"/>
    </row>
    <row r="273" spans="1:18" x14ac:dyDescent="0.25">
      <c r="A273" s="18" t="s">
        <v>854</v>
      </c>
      <c r="B273" s="8" t="s">
        <v>170</v>
      </c>
      <c r="C273" s="8" t="s">
        <v>855</v>
      </c>
      <c r="D273" s="8" t="s">
        <v>856</v>
      </c>
      <c r="E273" s="19">
        <v>46266</v>
      </c>
      <c r="F273" s="19">
        <v>46296</v>
      </c>
      <c r="G273" s="8">
        <v>6864.84</v>
      </c>
      <c r="H273" s="8" t="s">
        <v>15</v>
      </c>
      <c r="I273" s="8" t="s">
        <v>23</v>
      </c>
      <c r="J273" s="8" t="s">
        <v>17</v>
      </c>
      <c r="K273" s="8" t="s">
        <v>18</v>
      </c>
      <c r="L273" t="str">
        <f t="shared" si="16"/>
        <v>Unique</v>
      </c>
      <c r="M273" s="8" t="str">
        <f>IF(COUNTIF(Payments_Raw!$B:$B,A273)=0,"Unpaid",IF(N273&gt;=G273,"Paid",IF(N273&gt;0,"Partial Payment",IF(COUNTIFS(Payments_Raw!$B:$B,A273,Payments_Raw!$F:$F,"Failed")&gt;0,"Failed",IF(COUNTIFS(Payments_Raw!$B:$B,A273,Payments_Raw!$F:$F,"Pending")&gt;0,"Pending","Unpaid")))))</f>
        <v>Unpaid</v>
      </c>
      <c r="N273" s="8">
        <f>SUMIFS(Payments_Raw!$E:$E,Payments_Raw!$B:$B,A273,Payments_Raw!$F:$F,"Successful")</f>
        <v>0</v>
      </c>
      <c r="O273" s="26">
        <f t="shared" si="17"/>
        <v>6864.84</v>
      </c>
      <c r="P273" s="9" t="str">
        <f t="shared" si="18"/>
        <v>Unpaid Invoice</v>
      </c>
      <c r="Q273" s="14" t="str">
        <f t="shared" si="19"/>
        <v>Overdue</v>
      </c>
      <c r="R273" s="14"/>
    </row>
    <row r="274" spans="1:18" x14ac:dyDescent="0.25">
      <c r="A274" s="18" t="s">
        <v>857</v>
      </c>
      <c r="B274" s="8" t="s">
        <v>12</v>
      </c>
      <c r="C274" s="8" t="s">
        <v>858</v>
      </c>
      <c r="D274" s="8" t="s">
        <v>859</v>
      </c>
      <c r="E274" s="19">
        <v>46184</v>
      </c>
      <c r="F274" s="19">
        <v>46199</v>
      </c>
      <c r="G274" s="8">
        <v>509.57</v>
      </c>
      <c r="H274" s="8" t="s">
        <v>15</v>
      </c>
      <c r="I274" s="8" t="s">
        <v>39</v>
      </c>
      <c r="J274" s="8" t="s">
        <v>17</v>
      </c>
      <c r="K274" s="8" t="s">
        <v>18</v>
      </c>
      <c r="L274" t="str">
        <f t="shared" si="16"/>
        <v>Unique</v>
      </c>
      <c r="M274" s="8" t="str">
        <f>IF(COUNTIF(Payments_Raw!$B:$B,A274)=0,"Unpaid",IF(N274&gt;=G274,"Paid",IF(N274&gt;0,"Partial Payment",IF(COUNTIFS(Payments_Raw!$B:$B,A274,Payments_Raw!$F:$F,"Failed")&gt;0,"Failed",IF(COUNTIFS(Payments_Raw!$B:$B,A274,Payments_Raw!$F:$F,"Pending")&gt;0,"Pending","Unpaid")))))</f>
        <v>Unpaid</v>
      </c>
      <c r="N274" s="8">
        <f>SUMIFS(Payments_Raw!$E:$E,Payments_Raw!$B:$B,A274,Payments_Raw!$F:$F,"Successful")</f>
        <v>0</v>
      </c>
      <c r="O274" s="26">
        <f t="shared" si="17"/>
        <v>509.57</v>
      </c>
      <c r="P274" s="9" t="str">
        <f t="shared" si="18"/>
        <v>Unpaid Invoice</v>
      </c>
      <c r="Q274" s="14" t="str">
        <f t="shared" si="19"/>
        <v>Overdue</v>
      </c>
      <c r="R274" s="14"/>
    </row>
    <row r="275" spans="1:18" x14ac:dyDescent="0.25">
      <c r="A275" s="18" t="s">
        <v>860</v>
      </c>
      <c r="B275" s="8" t="s">
        <v>163</v>
      </c>
      <c r="C275" s="8" t="s">
        <v>861</v>
      </c>
      <c r="D275" s="8" t="s">
        <v>862</v>
      </c>
      <c r="E275" s="19">
        <v>46106</v>
      </c>
      <c r="F275" s="19">
        <v>46121</v>
      </c>
      <c r="G275" s="8">
        <v>14151.28</v>
      </c>
      <c r="H275" s="8" t="s">
        <v>15</v>
      </c>
      <c r="I275" s="8" t="s">
        <v>23</v>
      </c>
      <c r="J275" s="8" t="s">
        <v>17</v>
      </c>
      <c r="K275" s="8" t="s">
        <v>24</v>
      </c>
      <c r="L275" t="str">
        <f t="shared" si="16"/>
        <v>Unique</v>
      </c>
      <c r="M275" s="8" t="str">
        <f>IF(COUNTIF(Payments_Raw!$B:$B,A275)=0,"Unpaid",IF(N275&gt;=G275,"Paid",IF(N275&gt;0,"Partial Payment",IF(COUNTIFS(Payments_Raw!$B:$B,A275,Payments_Raw!$F:$F,"Failed")&gt;0,"Failed",IF(COUNTIFS(Payments_Raw!$B:$B,A275,Payments_Raw!$F:$F,"Pending")&gt;0,"Pending","Unpaid")))))</f>
        <v>Paid</v>
      </c>
      <c r="N275" s="8">
        <f>SUMIFS(Payments_Raw!$E:$E,Payments_Raw!$B:$B,A275,Payments_Raw!$F:$F,"Successful")</f>
        <v>14151.28</v>
      </c>
      <c r="O275" s="26">
        <f t="shared" si="17"/>
        <v>0</v>
      </c>
      <c r="P275" s="9" t="str">
        <f t="shared" si="18"/>
        <v>No Exception</v>
      </c>
      <c r="Q275" s="14" t="str">
        <f t="shared" si="19"/>
        <v>Not Overdue</v>
      </c>
      <c r="R275" s="14"/>
    </row>
    <row r="276" spans="1:18" x14ac:dyDescent="0.25">
      <c r="A276" s="18" t="s">
        <v>863</v>
      </c>
      <c r="B276" s="8" t="s">
        <v>122</v>
      </c>
      <c r="C276" s="8" t="s">
        <v>864</v>
      </c>
      <c r="D276" s="8" t="s">
        <v>865</v>
      </c>
      <c r="E276" s="19">
        <v>46063</v>
      </c>
      <c r="F276" s="19">
        <v>46078</v>
      </c>
      <c r="G276" s="8">
        <v>12579.73</v>
      </c>
      <c r="H276" s="8" t="s">
        <v>15</v>
      </c>
      <c r="I276" s="8" t="s">
        <v>16</v>
      </c>
      <c r="J276" s="8" t="s">
        <v>17</v>
      </c>
      <c r="K276" s="8" t="s">
        <v>63</v>
      </c>
      <c r="L276" t="str">
        <f t="shared" si="16"/>
        <v>Unique</v>
      </c>
      <c r="M276" s="8" t="str">
        <f>IF(COUNTIF(Payments_Raw!$B:$B,A276)=0,"Unpaid",IF(N276&gt;=G276,"Paid",IF(N276&gt;0,"Partial Payment",IF(COUNTIFS(Payments_Raw!$B:$B,A276,Payments_Raw!$F:$F,"Failed")&gt;0,"Failed",IF(COUNTIFS(Payments_Raw!$B:$B,A276,Payments_Raw!$F:$F,"Pending")&gt;0,"Pending","Unpaid")))))</f>
        <v>Failed</v>
      </c>
      <c r="N276" s="8">
        <f>SUMIFS(Payments_Raw!$E:$E,Payments_Raw!$B:$B,A276,Payments_Raw!$F:$F,"Successful")</f>
        <v>0</v>
      </c>
      <c r="O276" s="26">
        <f t="shared" si="17"/>
        <v>12579.73</v>
      </c>
      <c r="P276" s="9" t="str">
        <f t="shared" si="18"/>
        <v>Failed Payment</v>
      </c>
      <c r="Q276" s="14" t="str">
        <f t="shared" si="19"/>
        <v>Overdue</v>
      </c>
      <c r="R276" s="14"/>
    </row>
    <row r="277" spans="1:18" x14ac:dyDescent="0.25">
      <c r="A277" s="18" t="s">
        <v>866</v>
      </c>
      <c r="B277" s="8" t="s">
        <v>138</v>
      </c>
      <c r="C277" s="8" t="s">
        <v>867</v>
      </c>
      <c r="D277" s="8" t="s">
        <v>868</v>
      </c>
      <c r="E277" s="19">
        <v>46226</v>
      </c>
      <c r="F277" s="19">
        <v>46271</v>
      </c>
      <c r="G277" s="8">
        <v>24226.74</v>
      </c>
      <c r="H277" s="8" t="s">
        <v>15</v>
      </c>
      <c r="I277" s="8" t="s">
        <v>39</v>
      </c>
      <c r="J277" s="8" t="s">
        <v>17</v>
      </c>
      <c r="K277" s="8" t="s">
        <v>18</v>
      </c>
      <c r="L277" t="str">
        <f t="shared" si="16"/>
        <v>Unique</v>
      </c>
      <c r="M277" s="8" t="str">
        <f>IF(COUNTIF(Payments_Raw!$B:$B,A277)=0,"Unpaid",IF(N277&gt;=G277,"Paid",IF(N277&gt;0,"Partial Payment",IF(COUNTIFS(Payments_Raw!$B:$B,A277,Payments_Raw!$F:$F,"Failed")&gt;0,"Failed",IF(COUNTIFS(Payments_Raw!$B:$B,A277,Payments_Raw!$F:$F,"Pending")&gt;0,"Pending","Unpaid")))))</f>
        <v>Paid</v>
      </c>
      <c r="N277" s="8">
        <f>SUMIFS(Payments_Raw!$E:$E,Payments_Raw!$B:$B,A277,Payments_Raw!$F:$F,"Successful")</f>
        <v>24226.74</v>
      </c>
      <c r="O277" s="26">
        <f t="shared" si="17"/>
        <v>0</v>
      </c>
      <c r="P277" s="9" t="str">
        <f t="shared" si="18"/>
        <v>No Exception</v>
      </c>
      <c r="Q277" s="14" t="str">
        <f t="shared" si="19"/>
        <v>Not Overdue</v>
      </c>
      <c r="R277" s="14"/>
    </row>
    <row r="278" spans="1:18" x14ac:dyDescent="0.25">
      <c r="A278" s="18" t="s">
        <v>869</v>
      </c>
      <c r="B278" s="8" t="s">
        <v>57</v>
      </c>
      <c r="C278" s="8" t="s">
        <v>870</v>
      </c>
      <c r="D278" s="8" t="s">
        <v>871</v>
      </c>
      <c r="E278" s="19">
        <v>46306</v>
      </c>
      <c r="F278" s="19">
        <v>46351</v>
      </c>
      <c r="G278" s="8">
        <v>23535.63</v>
      </c>
      <c r="H278" s="8" t="s">
        <v>15</v>
      </c>
      <c r="I278" s="8" t="s">
        <v>16</v>
      </c>
      <c r="J278" s="8" t="s">
        <v>30</v>
      </c>
      <c r="K278" s="8" t="s">
        <v>24</v>
      </c>
      <c r="L278" t="str">
        <f t="shared" si="16"/>
        <v>Unique</v>
      </c>
      <c r="M278" s="8" t="str">
        <f>IF(COUNTIF(Payments_Raw!$B:$B,A278)=0,"Unpaid",IF(N278&gt;=G278,"Paid",IF(N278&gt;0,"Partial Payment",IF(COUNTIFS(Payments_Raw!$B:$B,A278,Payments_Raw!$F:$F,"Failed")&gt;0,"Failed",IF(COUNTIFS(Payments_Raw!$B:$B,A278,Payments_Raw!$F:$F,"Pending")&gt;0,"Pending","Unpaid")))))</f>
        <v>Unpaid</v>
      </c>
      <c r="N278" s="8">
        <f>SUMIFS(Payments_Raw!$E:$E,Payments_Raw!$B:$B,A278,Payments_Raw!$F:$F,"Successful")</f>
        <v>0</v>
      </c>
      <c r="O278" s="26">
        <f t="shared" si="17"/>
        <v>23535.63</v>
      </c>
      <c r="P278" s="9" t="str">
        <f t="shared" si="18"/>
        <v>Unpaid Invoice</v>
      </c>
      <c r="Q278" s="14" t="str">
        <f t="shared" si="19"/>
        <v>Overdue</v>
      </c>
      <c r="R278" s="14"/>
    </row>
    <row r="279" spans="1:18" x14ac:dyDescent="0.25">
      <c r="A279" s="18" t="s">
        <v>872</v>
      </c>
      <c r="B279" s="8" t="s">
        <v>163</v>
      </c>
      <c r="C279" s="8" t="s">
        <v>873</v>
      </c>
      <c r="D279" s="8" t="s">
        <v>874</v>
      </c>
      <c r="E279" s="19">
        <v>46149</v>
      </c>
      <c r="F279" s="19">
        <v>46164</v>
      </c>
      <c r="G279" s="8">
        <v>17862.14</v>
      </c>
      <c r="H279" s="8" t="s">
        <v>15</v>
      </c>
      <c r="I279" s="8" t="s">
        <v>39</v>
      </c>
      <c r="J279" s="8" t="s">
        <v>17</v>
      </c>
      <c r="K279" s="8" t="s">
        <v>24</v>
      </c>
      <c r="L279" t="str">
        <f t="shared" si="16"/>
        <v>Unique</v>
      </c>
      <c r="M279" s="8" t="str">
        <f>IF(COUNTIF(Payments_Raw!$B:$B,A279)=0,"Unpaid",IF(N279&gt;=G279,"Paid",IF(N279&gt;0,"Partial Payment",IF(COUNTIFS(Payments_Raw!$B:$B,A279,Payments_Raw!$F:$F,"Failed")&gt;0,"Failed",IF(COUNTIFS(Payments_Raw!$B:$B,A279,Payments_Raw!$F:$F,"Pending")&gt;0,"Pending","Unpaid")))))</f>
        <v>Paid</v>
      </c>
      <c r="N279" s="8">
        <f>SUMIFS(Payments_Raw!$E:$E,Payments_Raw!$B:$B,A279,Payments_Raw!$F:$F,"Successful")</f>
        <v>17862.14</v>
      </c>
      <c r="O279" s="26">
        <f t="shared" si="17"/>
        <v>0</v>
      </c>
      <c r="P279" s="9" t="str">
        <f t="shared" si="18"/>
        <v>No Exception</v>
      </c>
      <c r="Q279" s="14" t="str">
        <f t="shared" si="19"/>
        <v>Not Overdue</v>
      </c>
      <c r="R279" s="14"/>
    </row>
    <row r="280" spans="1:18" x14ac:dyDescent="0.25">
      <c r="A280" s="18" t="s">
        <v>875</v>
      </c>
      <c r="B280" s="8" t="s">
        <v>41</v>
      </c>
      <c r="C280" s="8" t="s">
        <v>876</v>
      </c>
      <c r="D280" s="8" t="s">
        <v>877</v>
      </c>
      <c r="E280" s="19">
        <v>46185</v>
      </c>
      <c r="F280" s="19">
        <v>46200</v>
      </c>
      <c r="G280" s="8">
        <v>9094.2199999999993</v>
      </c>
      <c r="H280" s="8" t="s">
        <v>15</v>
      </c>
      <c r="I280" s="8" t="s">
        <v>16</v>
      </c>
      <c r="J280" s="8" t="s">
        <v>17</v>
      </c>
      <c r="K280" s="8" t="s">
        <v>18</v>
      </c>
      <c r="L280" t="str">
        <f t="shared" si="16"/>
        <v>Unique</v>
      </c>
      <c r="M280" s="8" t="str">
        <f>IF(COUNTIF(Payments_Raw!$B:$B,A280)=0,"Unpaid",IF(N280&gt;=G280,"Paid",IF(N280&gt;0,"Partial Payment",IF(COUNTIFS(Payments_Raw!$B:$B,A280,Payments_Raw!$F:$F,"Failed")&gt;0,"Failed",IF(COUNTIFS(Payments_Raw!$B:$B,A280,Payments_Raw!$F:$F,"Pending")&gt;0,"Pending","Unpaid")))))</f>
        <v>Unpaid</v>
      </c>
      <c r="N280" s="8">
        <f>SUMIFS(Payments_Raw!$E:$E,Payments_Raw!$B:$B,A280,Payments_Raw!$F:$F,"Successful")</f>
        <v>0</v>
      </c>
      <c r="O280" s="26">
        <f t="shared" si="17"/>
        <v>9094.2199999999993</v>
      </c>
      <c r="P280" s="9" t="str">
        <f t="shared" si="18"/>
        <v>Unpaid Invoice</v>
      </c>
      <c r="Q280" s="14" t="str">
        <f t="shared" si="19"/>
        <v>Overdue</v>
      </c>
      <c r="R280" s="14"/>
    </row>
    <row r="281" spans="1:18" x14ac:dyDescent="0.25">
      <c r="A281" s="18" t="s">
        <v>878</v>
      </c>
      <c r="B281" s="8" t="s">
        <v>102</v>
      </c>
      <c r="C281" s="8" t="s">
        <v>879</v>
      </c>
      <c r="D281" s="8" t="s">
        <v>880</v>
      </c>
      <c r="E281" s="19">
        <v>46118</v>
      </c>
      <c r="F281" s="19">
        <v>46163</v>
      </c>
      <c r="G281" s="8">
        <v>10842.77</v>
      </c>
      <c r="H281" s="8" t="s">
        <v>15</v>
      </c>
      <c r="I281" s="8" t="s">
        <v>29</v>
      </c>
      <c r="J281" s="8" t="s">
        <v>30</v>
      </c>
      <c r="K281" s="8" t="s">
        <v>24</v>
      </c>
      <c r="L281" t="str">
        <f t="shared" si="16"/>
        <v>Unique</v>
      </c>
      <c r="M281" s="8" t="str">
        <f>IF(COUNTIF(Payments_Raw!$B:$B,A281)=0,"Unpaid",IF(N281&gt;=G281,"Paid",IF(N281&gt;0,"Partial Payment",IF(COUNTIFS(Payments_Raw!$B:$B,A281,Payments_Raw!$F:$F,"Failed")&gt;0,"Failed",IF(COUNTIFS(Payments_Raw!$B:$B,A281,Payments_Raw!$F:$F,"Pending")&gt;0,"Pending","Unpaid")))))</f>
        <v>Paid</v>
      </c>
      <c r="N281" s="8">
        <f>SUMIFS(Payments_Raw!$E:$E,Payments_Raw!$B:$B,A281,Payments_Raw!$F:$F,"Successful")</f>
        <v>10842.77</v>
      </c>
      <c r="O281" s="26">
        <f t="shared" si="17"/>
        <v>0</v>
      </c>
      <c r="P281" s="9" t="str">
        <f t="shared" si="18"/>
        <v>No Exception</v>
      </c>
      <c r="Q281" s="14" t="str">
        <f t="shared" si="19"/>
        <v>Not Overdue</v>
      </c>
      <c r="R281" s="14"/>
    </row>
    <row r="282" spans="1:18" x14ac:dyDescent="0.25">
      <c r="A282" s="18" t="s">
        <v>881</v>
      </c>
      <c r="B282" s="8" t="s">
        <v>102</v>
      </c>
      <c r="C282" s="8" t="s">
        <v>882</v>
      </c>
      <c r="D282" s="8" t="s">
        <v>883</v>
      </c>
      <c r="E282" s="19">
        <v>46189</v>
      </c>
      <c r="F282" s="19">
        <v>46234</v>
      </c>
      <c r="G282" s="8">
        <v>39483.35</v>
      </c>
      <c r="H282" s="8" t="s">
        <v>15</v>
      </c>
      <c r="I282" s="8" t="s">
        <v>23</v>
      </c>
      <c r="J282" s="8" t="s">
        <v>17</v>
      </c>
      <c r="K282" s="8" t="s">
        <v>18</v>
      </c>
      <c r="L282" t="str">
        <f t="shared" si="16"/>
        <v>Unique</v>
      </c>
      <c r="M282" s="8" t="str">
        <f>IF(COUNTIF(Payments_Raw!$B:$B,A282)=0,"Unpaid",IF(N282&gt;=G282,"Paid",IF(N282&gt;0,"Partial Payment",IF(COUNTIFS(Payments_Raw!$B:$B,A282,Payments_Raw!$F:$F,"Failed")&gt;0,"Failed",IF(COUNTIFS(Payments_Raw!$B:$B,A282,Payments_Raw!$F:$F,"Pending")&gt;0,"Pending","Unpaid")))))</f>
        <v>Pending</v>
      </c>
      <c r="N282" s="8">
        <f>SUMIFS(Payments_Raw!$E:$E,Payments_Raw!$B:$B,A282,Payments_Raw!$F:$F,"Successful")</f>
        <v>0</v>
      </c>
      <c r="O282" s="26">
        <f t="shared" si="17"/>
        <v>39483.35</v>
      </c>
      <c r="P282" s="9" t="str">
        <f t="shared" si="18"/>
        <v>Pending Payment</v>
      </c>
      <c r="Q282" s="14" t="str">
        <f t="shared" si="19"/>
        <v>Overdue</v>
      </c>
      <c r="R282" s="14"/>
    </row>
    <row r="283" spans="1:18" x14ac:dyDescent="0.25">
      <c r="A283" s="18" t="s">
        <v>884</v>
      </c>
      <c r="B283" s="8" t="s">
        <v>170</v>
      </c>
      <c r="C283" s="8" t="s">
        <v>885</v>
      </c>
      <c r="D283" s="8" t="s">
        <v>886</v>
      </c>
      <c r="E283" s="19">
        <v>46289</v>
      </c>
      <c r="F283" s="19">
        <v>46319</v>
      </c>
      <c r="G283" s="8">
        <v>4339.22</v>
      </c>
      <c r="H283" s="8" t="s">
        <v>15</v>
      </c>
      <c r="I283" s="8" t="s">
        <v>16</v>
      </c>
      <c r="J283" s="8" t="s">
        <v>17</v>
      </c>
      <c r="K283" s="8" t="s">
        <v>18</v>
      </c>
      <c r="L283" t="str">
        <f t="shared" si="16"/>
        <v>Unique</v>
      </c>
      <c r="M283" s="8" t="str">
        <f>IF(COUNTIF(Payments_Raw!$B:$B,A283)=0,"Unpaid",IF(N283&gt;=G283,"Paid",IF(N283&gt;0,"Partial Payment",IF(COUNTIFS(Payments_Raw!$B:$B,A283,Payments_Raw!$F:$F,"Failed")&gt;0,"Failed",IF(COUNTIFS(Payments_Raw!$B:$B,A283,Payments_Raw!$F:$F,"Pending")&gt;0,"Pending","Unpaid")))))</f>
        <v>Paid</v>
      </c>
      <c r="N283" s="8">
        <f>SUMIFS(Payments_Raw!$E:$E,Payments_Raw!$B:$B,A283,Payments_Raw!$F:$F,"Successful")</f>
        <v>4339.22</v>
      </c>
      <c r="O283" s="26">
        <f t="shared" si="17"/>
        <v>0</v>
      </c>
      <c r="P283" s="9" t="str">
        <f t="shared" si="18"/>
        <v>No Exception</v>
      </c>
      <c r="Q283" s="14" t="str">
        <f t="shared" si="19"/>
        <v>Not Overdue</v>
      </c>
      <c r="R283" s="14"/>
    </row>
    <row r="284" spans="1:18" x14ac:dyDescent="0.25">
      <c r="A284" s="18" t="s">
        <v>887</v>
      </c>
      <c r="B284" s="8" t="s">
        <v>12</v>
      </c>
      <c r="C284" s="8" t="s">
        <v>888</v>
      </c>
      <c r="D284" s="8" t="s">
        <v>889</v>
      </c>
      <c r="E284" s="19">
        <v>46245</v>
      </c>
      <c r="F284" s="19">
        <v>46260</v>
      </c>
      <c r="G284" s="8">
        <v>6985.93</v>
      </c>
      <c r="H284" s="8" t="s">
        <v>15</v>
      </c>
      <c r="I284" s="8" t="s">
        <v>16</v>
      </c>
      <c r="J284" s="8" t="s">
        <v>17</v>
      </c>
      <c r="K284" s="8" t="s">
        <v>24</v>
      </c>
      <c r="L284" t="str">
        <f t="shared" si="16"/>
        <v>Unique</v>
      </c>
      <c r="M284" s="8" t="str">
        <f>IF(COUNTIF(Payments_Raw!$B:$B,A284)=0,"Unpaid",IF(N284&gt;=G284,"Paid",IF(N284&gt;0,"Partial Payment",IF(COUNTIFS(Payments_Raw!$B:$B,A284,Payments_Raw!$F:$F,"Failed")&gt;0,"Failed",IF(COUNTIFS(Payments_Raw!$B:$B,A284,Payments_Raw!$F:$F,"Pending")&gt;0,"Pending","Unpaid")))))</f>
        <v>Paid</v>
      </c>
      <c r="N284" s="8">
        <f>SUMIFS(Payments_Raw!$E:$E,Payments_Raw!$B:$B,A284,Payments_Raw!$F:$F,"Successful")</f>
        <v>6985.93</v>
      </c>
      <c r="O284" s="26">
        <f t="shared" si="17"/>
        <v>0</v>
      </c>
      <c r="P284" s="9" t="str">
        <f t="shared" si="18"/>
        <v>No Exception</v>
      </c>
      <c r="Q284" s="14" t="str">
        <f t="shared" si="19"/>
        <v>Not Overdue</v>
      </c>
      <c r="R284" s="14"/>
    </row>
    <row r="285" spans="1:18" x14ac:dyDescent="0.25">
      <c r="A285" s="18" t="s">
        <v>890</v>
      </c>
      <c r="B285" s="8" t="s">
        <v>75</v>
      </c>
      <c r="C285" s="8" t="s">
        <v>891</v>
      </c>
      <c r="D285" s="8" t="s">
        <v>892</v>
      </c>
      <c r="E285" s="19">
        <v>46123</v>
      </c>
      <c r="F285" s="19">
        <v>46138</v>
      </c>
      <c r="G285" s="8">
        <v>11511.6</v>
      </c>
      <c r="H285" s="8" t="s">
        <v>15</v>
      </c>
      <c r="I285" s="8" t="s">
        <v>16</v>
      </c>
      <c r="J285" s="8" t="s">
        <v>17</v>
      </c>
      <c r="K285" s="8" t="s">
        <v>63</v>
      </c>
      <c r="L285" t="str">
        <f t="shared" si="16"/>
        <v>Unique</v>
      </c>
      <c r="M285" s="8" t="str">
        <f>IF(COUNTIF(Payments_Raw!$B:$B,A285)=0,"Unpaid",IF(N285&gt;=G285,"Paid",IF(N285&gt;0,"Partial Payment",IF(COUNTIFS(Payments_Raw!$B:$B,A285,Payments_Raw!$F:$F,"Failed")&gt;0,"Failed",IF(COUNTIFS(Payments_Raw!$B:$B,A285,Payments_Raw!$F:$F,"Pending")&gt;0,"Pending","Unpaid")))))</f>
        <v>Paid</v>
      </c>
      <c r="N285" s="8">
        <f>SUMIFS(Payments_Raw!$E:$E,Payments_Raw!$B:$B,A285,Payments_Raw!$F:$F,"Successful")</f>
        <v>11511.6</v>
      </c>
      <c r="O285" s="26">
        <f t="shared" si="17"/>
        <v>0</v>
      </c>
      <c r="P285" s="9" t="str">
        <f t="shared" si="18"/>
        <v>No Exception</v>
      </c>
      <c r="Q285" s="14" t="str">
        <f t="shared" si="19"/>
        <v>Not Overdue</v>
      </c>
      <c r="R285" s="14"/>
    </row>
    <row r="286" spans="1:18" x14ac:dyDescent="0.25">
      <c r="A286" s="18" t="s">
        <v>893</v>
      </c>
      <c r="B286" s="8" t="s">
        <v>112</v>
      </c>
      <c r="C286" s="8" t="s">
        <v>894</v>
      </c>
      <c r="D286" s="8" t="s">
        <v>895</v>
      </c>
      <c r="E286" s="19">
        <v>46194</v>
      </c>
      <c r="F286" s="19">
        <v>46209</v>
      </c>
      <c r="G286" s="8">
        <v>10833.73</v>
      </c>
      <c r="H286" s="8" t="s">
        <v>15</v>
      </c>
      <c r="I286" s="8" t="s">
        <v>29</v>
      </c>
      <c r="J286" s="8" t="s">
        <v>17</v>
      </c>
      <c r="K286" s="8" t="s">
        <v>24</v>
      </c>
      <c r="L286" t="str">
        <f t="shared" si="16"/>
        <v>Unique</v>
      </c>
      <c r="M286" s="8" t="str">
        <f>IF(COUNTIF(Payments_Raw!$B:$B,A286)=0,"Unpaid",IF(N286&gt;=G286,"Paid",IF(N286&gt;0,"Partial Payment",IF(COUNTIFS(Payments_Raw!$B:$B,A286,Payments_Raw!$F:$F,"Failed")&gt;0,"Failed",IF(COUNTIFS(Payments_Raw!$B:$B,A286,Payments_Raw!$F:$F,"Pending")&gt;0,"Pending","Unpaid")))))</f>
        <v>Paid</v>
      </c>
      <c r="N286" s="8">
        <f>SUMIFS(Payments_Raw!$E:$E,Payments_Raw!$B:$B,A286,Payments_Raw!$F:$F,"Successful")</f>
        <v>10833.73</v>
      </c>
      <c r="O286" s="26">
        <f t="shared" si="17"/>
        <v>0</v>
      </c>
      <c r="P286" s="9" t="str">
        <f t="shared" si="18"/>
        <v>No Exception</v>
      </c>
      <c r="Q286" s="14" t="str">
        <f t="shared" si="19"/>
        <v>Not Overdue</v>
      </c>
      <c r="R286" s="14"/>
    </row>
    <row r="287" spans="1:18" x14ac:dyDescent="0.25">
      <c r="A287" s="18" t="s">
        <v>896</v>
      </c>
      <c r="B287" s="8" t="s">
        <v>53</v>
      </c>
      <c r="C287" s="8" t="s">
        <v>897</v>
      </c>
      <c r="D287" s="8" t="s">
        <v>898</v>
      </c>
      <c r="E287" s="19">
        <v>46268</v>
      </c>
      <c r="F287" s="19">
        <v>46298</v>
      </c>
      <c r="G287" s="8">
        <v>7936.88</v>
      </c>
      <c r="H287" s="8" t="s">
        <v>15</v>
      </c>
      <c r="I287" s="8" t="s">
        <v>39</v>
      </c>
      <c r="J287" s="8" t="s">
        <v>17</v>
      </c>
      <c r="K287" s="8" t="s">
        <v>24</v>
      </c>
      <c r="L287" t="str">
        <f t="shared" si="16"/>
        <v>Unique</v>
      </c>
      <c r="M287" s="8" t="str">
        <f>IF(COUNTIF(Payments_Raw!$B:$B,A287)=0,"Unpaid",IF(N287&gt;=G287,"Paid",IF(N287&gt;0,"Partial Payment",IF(COUNTIFS(Payments_Raw!$B:$B,A287,Payments_Raw!$F:$F,"Failed")&gt;0,"Failed",IF(COUNTIFS(Payments_Raw!$B:$B,A287,Payments_Raw!$F:$F,"Pending")&gt;0,"Pending","Unpaid")))))</f>
        <v>Pending</v>
      </c>
      <c r="N287" s="8">
        <f>SUMIFS(Payments_Raw!$E:$E,Payments_Raw!$B:$B,A287,Payments_Raw!$F:$F,"Successful")</f>
        <v>0</v>
      </c>
      <c r="O287" s="26">
        <f t="shared" si="17"/>
        <v>7936.88</v>
      </c>
      <c r="P287" s="9" t="str">
        <f t="shared" si="18"/>
        <v>Pending Payment</v>
      </c>
      <c r="Q287" s="14" t="str">
        <f t="shared" si="19"/>
        <v>Overdue</v>
      </c>
      <c r="R287" s="14"/>
    </row>
    <row r="288" spans="1:18" x14ac:dyDescent="0.25">
      <c r="A288" s="18" t="s">
        <v>899</v>
      </c>
      <c r="B288" s="8" t="s">
        <v>20</v>
      </c>
      <c r="C288" s="8" t="s">
        <v>900</v>
      </c>
      <c r="D288" s="8" t="s">
        <v>901</v>
      </c>
      <c r="E288" s="19">
        <v>46189</v>
      </c>
      <c r="F288" s="19">
        <v>46204</v>
      </c>
      <c r="G288" s="8">
        <v>9476.26</v>
      </c>
      <c r="H288" s="8" t="s">
        <v>15</v>
      </c>
      <c r="I288" s="8" t="s">
        <v>29</v>
      </c>
      <c r="J288" s="8" t="s">
        <v>17</v>
      </c>
      <c r="K288" s="8" t="s">
        <v>24</v>
      </c>
      <c r="L288" t="str">
        <f t="shared" si="16"/>
        <v>Unique</v>
      </c>
      <c r="M288" s="8" t="str">
        <f>IF(COUNTIF(Payments_Raw!$B:$B,A288)=0,"Unpaid",IF(N288&gt;=G288,"Paid",IF(N288&gt;0,"Partial Payment",IF(COUNTIFS(Payments_Raw!$B:$B,A288,Payments_Raw!$F:$F,"Failed")&gt;0,"Failed",IF(COUNTIFS(Payments_Raw!$B:$B,A288,Payments_Raw!$F:$F,"Pending")&gt;0,"Pending","Unpaid")))))</f>
        <v>Paid</v>
      </c>
      <c r="N288" s="8">
        <f>SUMIFS(Payments_Raw!$E:$E,Payments_Raw!$B:$B,A288,Payments_Raw!$F:$F,"Successful")</f>
        <v>9476.26</v>
      </c>
      <c r="O288" s="26">
        <f t="shared" si="17"/>
        <v>0</v>
      </c>
      <c r="P288" s="9" t="str">
        <f t="shared" si="18"/>
        <v>No Exception</v>
      </c>
      <c r="Q288" s="14" t="str">
        <f t="shared" si="19"/>
        <v>Not Overdue</v>
      </c>
      <c r="R288" s="14"/>
    </row>
    <row r="289" spans="1:18" x14ac:dyDescent="0.25">
      <c r="A289" s="18" t="s">
        <v>902</v>
      </c>
      <c r="B289" s="8" t="s">
        <v>32</v>
      </c>
      <c r="C289" s="8" t="s">
        <v>903</v>
      </c>
      <c r="D289" s="8" t="s">
        <v>904</v>
      </c>
      <c r="E289" s="19">
        <v>46115</v>
      </c>
      <c r="F289" s="19">
        <v>46145</v>
      </c>
      <c r="G289" s="8">
        <v>17081.009999999998</v>
      </c>
      <c r="H289" s="8" t="s">
        <v>15</v>
      </c>
      <c r="I289" s="8" t="s">
        <v>16</v>
      </c>
      <c r="J289" s="8" t="s">
        <v>17</v>
      </c>
      <c r="K289" s="8" t="s">
        <v>24</v>
      </c>
      <c r="L289" t="str">
        <f t="shared" si="16"/>
        <v>Unique</v>
      </c>
      <c r="M289" s="8" t="str">
        <f>IF(COUNTIF(Payments_Raw!$B:$B,A289)=0,"Unpaid",IF(N289&gt;=G289,"Paid",IF(N289&gt;0,"Partial Payment",IF(COUNTIFS(Payments_Raw!$B:$B,A289,Payments_Raw!$F:$F,"Failed")&gt;0,"Failed",IF(COUNTIFS(Payments_Raw!$B:$B,A289,Payments_Raw!$F:$F,"Pending")&gt;0,"Pending","Unpaid")))))</f>
        <v>Paid</v>
      </c>
      <c r="N289" s="8">
        <f>SUMIFS(Payments_Raw!$E:$E,Payments_Raw!$B:$B,A289,Payments_Raw!$F:$F,"Successful")</f>
        <v>17081.009999999998</v>
      </c>
      <c r="O289" s="26">
        <f t="shared" si="17"/>
        <v>0</v>
      </c>
      <c r="P289" s="9" t="str">
        <f t="shared" si="18"/>
        <v>No Exception</v>
      </c>
      <c r="Q289" s="14" t="str">
        <f t="shared" si="19"/>
        <v>Not Overdue</v>
      </c>
      <c r="R289" s="14"/>
    </row>
    <row r="290" spans="1:18" x14ac:dyDescent="0.25">
      <c r="A290" s="18" t="s">
        <v>905</v>
      </c>
      <c r="B290" s="8" t="s">
        <v>102</v>
      </c>
      <c r="C290" s="8" t="s">
        <v>906</v>
      </c>
      <c r="D290" s="8" t="s">
        <v>907</v>
      </c>
      <c r="E290" s="19">
        <v>46232</v>
      </c>
      <c r="F290" s="19">
        <v>46277</v>
      </c>
      <c r="G290" s="8">
        <v>16863.68</v>
      </c>
      <c r="H290" s="8" t="s">
        <v>15</v>
      </c>
      <c r="I290" s="8" t="s">
        <v>16</v>
      </c>
      <c r="J290" s="8" t="s">
        <v>17</v>
      </c>
      <c r="K290" s="8" t="s">
        <v>63</v>
      </c>
      <c r="L290" t="str">
        <f t="shared" si="16"/>
        <v>Unique</v>
      </c>
      <c r="M290" s="8" t="str">
        <f>IF(COUNTIF(Payments_Raw!$B:$B,A290)=0,"Unpaid",IF(N290&gt;=G290,"Paid",IF(N290&gt;0,"Partial Payment",IF(COUNTIFS(Payments_Raw!$B:$B,A290,Payments_Raw!$F:$F,"Failed")&gt;0,"Failed",IF(COUNTIFS(Payments_Raw!$B:$B,A290,Payments_Raw!$F:$F,"Pending")&gt;0,"Pending","Unpaid")))))</f>
        <v>Paid</v>
      </c>
      <c r="N290" s="8">
        <f>SUMIFS(Payments_Raw!$E:$E,Payments_Raw!$B:$B,A290,Payments_Raw!$F:$F,"Successful")</f>
        <v>16863.68</v>
      </c>
      <c r="O290" s="26">
        <f t="shared" si="17"/>
        <v>0</v>
      </c>
      <c r="P290" s="9" t="str">
        <f t="shared" si="18"/>
        <v>No Exception</v>
      </c>
      <c r="Q290" s="14" t="str">
        <f t="shared" si="19"/>
        <v>Not Overdue</v>
      </c>
      <c r="R290" s="14"/>
    </row>
    <row r="291" spans="1:18" x14ac:dyDescent="0.25">
      <c r="A291" s="18" t="s">
        <v>908</v>
      </c>
      <c r="B291" s="8" t="s">
        <v>41</v>
      </c>
      <c r="C291" s="8" t="s">
        <v>909</v>
      </c>
      <c r="D291" s="8" t="s">
        <v>910</v>
      </c>
      <c r="E291" s="19">
        <v>46060</v>
      </c>
      <c r="F291" s="19">
        <v>46075</v>
      </c>
      <c r="G291" s="8">
        <v>11292.78</v>
      </c>
      <c r="H291" s="8" t="s">
        <v>15</v>
      </c>
      <c r="I291" s="8" t="s">
        <v>16</v>
      </c>
      <c r="J291" s="8" t="s">
        <v>17</v>
      </c>
      <c r="K291" s="8" t="s">
        <v>24</v>
      </c>
      <c r="L291" t="str">
        <f t="shared" si="16"/>
        <v>Unique</v>
      </c>
      <c r="M291" s="8" t="str">
        <f>IF(COUNTIF(Payments_Raw!$B:$B,A291)=0,"Unpaid",IF(N291&gt;=G291,"Paid",IF(N291&gt;0,"Partial Payment",IF(COUNTIFS(Payments_Raw!$B:$B,A291,Payments_Raw!$F:$F,"Failed")&gt;0,"Failed",IF(COUNTIFS(Payments_Raw!$B:$B,A291,Payments_Raw!$F:$F,"Pending")&gt;0,"Pending","Unpaid")))))</f>
        <v>Paid</v>
      </c>
      <c r="N291" s="8">
        <f>SUMIFS(Payments_Raw!$E:$E,Payments_Raw!$B:$B,A291,Payments_Raw!$F:$F,"Successful")</f>
        <v>11292.78</v>
      </c>
      <c r="O291" s="26">
        <f t="shared" si="17"/>
        <v>0</v>
      </c>
      <c r="P291" s="9" t="str">
        <f t="shared" si="18"/>
        <v>No Exception</v>
      </c>
      <c r="Q291" s="14" t="str">
        <f t="shared" si="19"/>
        <v>Not Overdue</v>
      </c>
      <c r="R291" s="14"/>
    </row>
    <row r="292" spans="1:18" x14ac:dyDescent="0.25">
      <c r="A292" s="18" t="s">
        <v>911</v>
      </c>
      <c r="B292" s="8" t="s">
        <v>85</v>
      </c>
      <c r="C292" s="8" t="s">
        <v>912</v>
      </c>
      <c r="D292" s="8" t="s">
        <v>913</v>
      </c>
      <c r="E292" s="19">
        <v>46301</v>
      </c>
      <c r="F292" s="19">
        <v>46346</v>
      </c>
      <c r="G292" s="8">
        <v>1034.72</v>
      </c>
      <c r="H292" s="8" t="s">
        <v>15</v>
      </c>
      <c r="I292" s="8" t="s">
        <v>16</v>
      </c>
      <c r="J292" s="8" t="s">
        <v>30</v>
      </c>
      <c r="K292" s="8" t="s">
        <v>18</v>
      </c>
      <c r="L292" t="str">
        <f t="shared" si="16"/>
        <v>Unique</v>
      </c>
      <c r="M292" s="8" t="str">
        <f>IF(COUNTIF(Payments_Raw!$B:$B,A292)=0,"Unpaid",IF(N292&gt;=G292,"Paid",IF(N292&gt;0,"Partial Payment",IF(COUNTIFS(Payments_Raw!$B:$B,A292,Payments_Raw!$F:$F,"Failed")&gt;0,"Failed",IF(COUNTIFS(Payments_Raw!$B:$B,A292,Payments_Raw!$F:$F,"Pending")&gt;0,"Pending","Unpaid")))))</f>
        <v>Paid</v>
      </c>
      <c r="N292" s="8">
        <f>SUMIFS(Payments_Raw!$E:$E,Payments_Raw!$B:$B,A292,Payments_Raw!$F:$F,"Successful")</f>
        <v>1034.72</v>
      </c>
      <c r="O292" s="26">
        <f t="shared" si="17"/>
        <v>0</v>
      </c>
      <c r="P292" s="9" t="str">
        <f t="shared" si="18"/>
        <v>No Exception</v>
      </c>
      <c r="Q292" s="14" t="str">
        <f t="shared" si="19"/>
        <v>Not Overdue</v>
      </c>
      <c r="R292" s="14"/>
    </row>
    <row r="293" spans="1:18" x14ac:dyDescent="0.25">
      <c r="A293" s="18" t="s">
        <v>914</v>
      </c>
      <c r="B293" s="8" t="s">
        <v>57</v>
      </c>
      <c r="C293" s="8" t="s">
        <v>915</v>
      </c>
      <c r="D293" s="8" t="s">
        <v>916</v>
      </c>
      <c r="E293" s="19">
        <v>46108</v>
      </c>
      <c r="F293" s="19">
        <v>46153</v>
      </c>
      <c r="G293" s="8">
        <v>59426.29</v>
      </c>
      <c r="H293" s="8" t="s">
        <v>15</v>
      </c>
      <c r="I293" s="8" t="s">
        <v>16</v>
      </c>
      <c r="J293" s="8" t="s">
        <v>17</v>
      </c>
      <c r="K293" s="8" t="s">
        <v>63</v>
      </c>
      <c r="L293" t="str">
        <f t="shared" si="16"/>
        <v>Unique</v>
      </c>
      <c r="M293" s="8" t="str">
        <f>IF(COUNTIF(Payments_Raw!$B:$B,A293)=0,"Unpaid",IF(N293&gt;=G293,"Paid",IF(N293&gt;0,"Partial Payment",IF(COUNTIFS(Payments_Raw!$B:$B,A293,Payments_Raw!$F:$F,"Failed")&gt;0,"Failed",IF(COUNTIFS(Payments_Raw!$B:$B,A293,Payments_Raw!$F:$F,"Pending")&gt;0,"Pending","Unpaid")))))</f>
        <v>Paid</v>
      </c>
      <c r="N293" s="8">
        <f>SUMIFS(Payments_Raw!$E:$E,Payments_Raw!$B:$B,A293,Payments_Raw!$F:$F,"Successful")</f>
        <v>59426.29</v>
      </c>
      <c r="O293" s="26">
        <f t="shared" si="17"/>
        <v>0</v>
      </c>
      <c r="P293" s="9" t="str">
        <f t="shared" si="18"/>
        <v>No Exception</v>
      </c>
      <c r="Q293" s="14" t="str">
        <f t="shared" si="19"/>
        <v>Not Overdue</v>
      </c>
      <c r="R293" s="14"/>
    </row>
    <row r="294" spans="1:18" x14ac:dyDescent="0.25">
      <c r="A294" s="18" t="s">
        <v>917</v>
      </c>
      <c r="B294" s="8" t="s">
        <v>45</v>
      </c>
      <c r="C294" s="8" t="s">
        <v>918</v>
      </c>
      <c r="D294" s="8" t="s">
        <v>919</v>
      </c>
      <c r="E294" s="19">
        <v>46028</v>
      </c>
      <c r="F294" s="19">
        <v>46058</v>
      </c>
      <c r="G294" s="8">
        <v>2573.33</v>
      </c>
      <c r="H294" s="8" t="s">
        <v>15</v>
      </c>
      <c r="I294" s="8" t="s">
        <v>16</v>
      </c>
      <c r="J294" s="8" t="s">
        <v>17</v>
      </c>
      <c r="K294" s="8" t="s">
        <v>63</v>
      </c>
      <c r="L294" t="str">
        <f t="shared" si="16"/>
        <v>Unique</v>
      </c>
      <c r="M294" s="8" t="str">
        <f>IF(COUNTIF(Payments_Raw!$B:$B,A294)=0,"Unpaid",IF(N294&gt;=G294,"Paid",IF(N294&gt;0,"Partial Payment",IF(COUNTIFS(Payments_Raw!$B:$B,A294,Payments_Raw!$F:$F,"Failed")&gt;0,"Failed",IF(COUNTIFS(Payments_Raw!$B:$B,A294,Payments_Raw!$F:$F,"Pending")&gt;0,"Pending","Unpaid")))))</f>
        <v>Paid</v>
      </c>
      <c r="N294" s="8">
        <f>SUMIFS(Payments_Raw!$E:$E,Payments_Raw!$B:$B,A294,Payments_Raw!$F:$F,"Successful")</f>
        <v>2573.33</v>
      </c>
      <c r="O294" s="26">
        <f t="shared" si="17"/>
        <v>0</v>
      </c>
      <c r="P294" s="9" t="str">
        <f t="shared" si="18"/>
        <v>No Exception</v>
      </c>
      <c r="Q294" s="14" t="str">
        <f t="shared" si="19"/>
        <v>Not Overdue</v>
      </c>
      <c r="R294" s="14"/>
    </row>
    <row r="295" spans="1:18" x14ac:dyDescent="0.25">
      <c r="A295" s="18" t="s">
        <v>920</v>
      </c>
      <c r="B295" s="8" t="s">
        <v>57</v>
      </c>
      <c r="C295" s="8" t="s">
        <v>921</v>
      </c>
      <c r="D295" s="8" t="s">
        <v>922</v>
      </c>
      <c r="E295" s="19">
        <v>46223</v>
      </c>
      <c r="F295" s="19">
        <v>46268</v>
      </c>
      <c r="G295" s="8">
        <v>11641.01</v>
      </c>
      <c r="H295" s="8" t="s">
        <v>15</v>
      </c>
      <c r="I295" s="8" t="s">
        <v>16</v>
      </c>
      <c r="J295" s="8" t="s">
        <v>30</v>
      </c>
      <c r="K295" s="8" t="s">
        <v>18</v>
      </c>
      <c r="L295" t="str">
        <f t="shared" si="16"/>
        <v>Duplicate</v>
      </c>
      <c r="M295" s="8" t="str">
        <f>IF(COUNTIF(Payments_Raw!$B:$B,A295)=0,"Unpaid",IF(N295&gt;=G295,"Paid",IF(N295&gt;0,"Partial Payment",IF(COUNTIFS(Payments_Raw!$B:$B,A295,Payments_Raw!$F:$F,"Failed")&gt;0,"Failed",IF(COUNTIFS(Payments_Raw!$B:$B,A295,Payments_Raw!$F:$F,"Pending")&gt;0,"Pending","Unpaid")))))</f>
        <v>Pending</v>
      </c>
      <c r="N295" s="8">
        <f>SUMIFS(Payments_Raw!$E:$E,Payments_Raw!$B:$B,A295,Payments_Raw!$F:$F,"Successful")</f>
        <v>0</v>
      </c>
      <c r="O295" s="26">
        <f t="shared" si="17"/>
        <v>11641.01</v>
      </c>
      <c r="P295" s="9" t="str">
        <f t="shared" si="18"/>
        <v>Duplicate Invoice</v>
      </c>
      <c r="Q295" s="14" t="str">
        <f t="shared" si="19"/>
        <v>Overdue</v>
      </c>
      <c r="R295" s="14"/>
    </row>
    <row r="296" spans="1:18" x14ac:dyDescent="0.25">
      <c r="A296" s="18" t="s">
        <v>923</v>
      </c>
      <c r="B296" s="8" t="s">
        <v>163</v>
      </c>
      <c r="C296" s="8" t="s">
        <v>924</v>
      </c>
      <c r="D296" s="8" t="s">
        <v>925</v>
      </c>
      <c r="E296" s="19">
        <v>46235</v>
      </c>
      <c r="F296" s="19">
        <v>46250</v>
      </c>
      <c r="G296" s="8">
        <v>23023.22</v>
      </c>
      <c r="H296" s="8" t="s">
        <v>15</v>
      </c>
      <c r="I296" s="8" t="s">
        <v>16</v>
      </c>
      <c r="J296" s="8" t="s">
        <v>17</v>
      </c>
      <c r="K296" s="8" t="s">
        <v>18</v>
      </c>
      <c r="L296" t="str">
        <f t="shared" si="16"/>
        <v>Unique</v>
      </c>
      <c r="M296" s="8" t="str">
        <f>IF(COUNTIF(Payments_Raw!$B:$B,A296)=0,"Unpaid",IF(N296&gt;=G296,"Paid",IF(N296&gt;0,"Partial Payment",IF(COUNTIFS(Payments_Raw!$B:$B,A296,Payments_Raw!$F:$F,"Failed")&gt;0,"Failed",IF(COUNTIFS(Payments_Raw!$B:$B,A296,Payments_Raw!$F:$F,"Pending")&gt;0,"Pending","Unpaid")))))</f>
        <v>Unpaid</v>
      </c>
      <c r="N296" s="8">
        <f>SUMIFS(Payments_Raw!$E:$E,Payments_Raw!$B:$B,A296,Payments_Raw!$F:$F,"Successful")</f>
        <v>0</v>
      </c>
      <c r="O296" s="26">
        <f t="shared" si="17"/>
        <v>23023.22</v>
      </c>
      <c r="P296" s="9" t="str">
        <f t="shared" si="18"/>
        <v>Unpaid Invoice</v>
      </c>
      <c r="Q296" s="14" t="str">
        <f t="shared" si="19"/>
        <v>Overdue</v>
      </c>
      <c r="R296" s="14"/>
    </row>
    <row r="297" spans="1:18" x14ac:dyDescent="0.25">
      <c r="A297" s="18" t="s">
        <v>926</v>
      </c>
      <c r="B297" s="8" t="s">
        <v>36</v>
      </c>
      <c r="C297" s="8" t="s">
        <v>927</v>
      </c>
      <c r="D297" s="8" t="s">
        <v>928</v>
      </c>
      <c r="E297" s="19">
        <v>46270</v>
      </c>
      <c r="F297" s="19">
        <v>46300</v>
      </c>
      <c r="G297" s="8">
        <v>8785.7099999999991</v>
      </c>
      <c r="H297" s="8" t="s">
        <v>15</v>
      </c>
      <c r="I297" s="8" t="s">
        <v>29</v>
      </c>
      <c r="J297" s="8" t="s">
        <v>30</v>
      </c>
      <c r="K297" s="8" t="s">
        <v>24</v>
      </c>
      <c r="L297" t="str">
        <f t="shared" si="16"/>
        <v>Unique</v>
      </c>
      <c r="M297" s="8" t="str">
        <f>IF(COUNTIF(Payments_Raw!$B:$B,A297)=0,"Unpaid",IF(N297&gt;=G297,"Paid",IF(N297&gt;0,"Partial Payment",IF(COUNTIFS(Payments_Raw!$B:$B,A297,Payments_Raw!$F:$F,"Failed")&gt;0,"Failed",IF(COUNTIFS(Payments_Raw!$B:$B,A297,Payments_Raw!$F:$F,"Pending")&gt;0,"Pending","Unpaid")))))</f>
        <v>Unpaid</v>
      </c>
      <c r="N297" s="8">
        <f>SUMIFS(Payments_Raw!$E:$E,Payments_Raw!$B:$B,A297,Payments_Raw!$F:$F,"Successful")</f>
        <v>0</v>
      </c>
      <c r="O297" s="26">
        <f t="shared" si="17"/>
        <v>8785.7099999999991</v>
      </c>
      <c r="P297" s="9" t="str">
        <f t="shared" si="18"/>
        <v>Unpaid Invoice</v>
      </c>
      <c r="Q297" s="14" t="str">
        <f t="shared" si="19"/>
        <v>Overdue</v>
      </c>
      <c r="R297" s="14"/>
    </row>
    <row r="298" spans="1:18" x14ac:dyDescent="0.25">
      <c r="A298" s="18" t="s">
        <v>929</v>
      </c>
      <c r="B298" s="8" t="s">
        <v>45</v>
      </c>
      <c r="C298" s="8" t="s">
        <v>930</v>
      </c>
      <c r="D298" s="8" t="s">
        <v>931</v>
      </c>
      <c r="E298" s="19">
        <v>46034</v>
      </c>
      <c r="F298" s="19">
        <v>46064</v>
      </c>
      <c r="G298" s="8">
        <v>21247.599999999999</v>
      </c>
      <c r="H298" s="8" t="s">
        <v>15</v>
      </c>
      <c r="I298" s="8" t="s">
        <v>29</v>
      </c>
      <c r="J298" s="8" t="s">
        <v>17</v>
      </c>
      <c r="K298" s="8" t="s">
        <v>18</v>
      </c>
      <c r="L298" t="str">
        <f t="shared" si="16"/>
        <v>Unique</v>
      </c>
      <c r="M298" s="8" t="str">
        <f>IF(COUNTIF(Payments_Raw!$B:$B,A298)=0,"Unpaid",IF(N298&gt;=G298,"Paid",IF(N298&gt;0,"Partial Payment",IF(COUNTIFS(Payments_Raw!$B:$B,A298,Payments_Raw!$F:$F,"Failed")&gt;0,"Failed",IF(COUNTIFS(Payments_Raw!$B:$B,A298,Payments_Raw!$F:$F,"Pending")&gt;0,"Pending","Unpaid")))))</f>
        <v>Paid</v>
      </c>
      <c r="N298" s="8">
        <f>SUMIFS(Payments_Raw!$E:$E,Payments_Raw!$B:$B,A298,Payments_Raw!$F:$F,"Successful")</f>
        <v>21247.599999999999</v>
      </c>
      <c r="O298" s="26">
        <f t="shared" si="17"/>
        <v>0</v>
      </c>
      <c r="P298" s="9" t="str">
        <f t="shared" si="18"/>
        <v>No Exception</v>
      </c>
      <c r="Q298" s="14" t="str">
        <f t="shared" si="19"/>
        <v>Not Overdue</v>
      </c>
      <c r="R298" s="14"/>
    </row>
    <row r="299" spans="1:18" x14ac:dyDescent="0.25">
      <c r="A299" s="18" t="s">
        <v>932</v>
      </c>
      <c r="B299" s="8" t="s">
        <v>36</v>
      </c>
      <c r="C299" s="8" t="s">
        <v>933</v>
      </c>
      <c r="D299" s="8" t="s">
        <v>934</v>
      </c>
      <c r="E299" s="19">
        <v>46112</v>
      </c>
      <c r="F299" s="19">
        <v>46142</v>
      </c>
      <c r="G299" s="8">
        <v>13851.53</v>
      </c>
      <c r="H299" s="8" t="s">
        <v>15</v>
      </c>
      <c r="I299" s="8" t="s">
        <v>16</v>
      </c>
      <c r="J299" s="8" t="s">
        <v>17</v>
      </c>
      <c r="K299" s="8" t="s">
        <v>18</v>
      </c>
      <c r="L299" t="str">
        <f t="shared" si="16"/>
        <v>Unique</v>
      </c>
      <c r="M299" s="8" t="str">
        <f>IF(COUNTIF(Payments_Raw!$B:$B,A299)=0,"Unpaid",IF(N299&gt;=G299,"Paid",IF(N299&gt;0,"Partial Payment",IF(COUNTIFS(Payments_Raw!$B:$B,A299,Payments_Raw!$F:$F,"Failed")&gt;0,"Failed",IF(COUNTIFS(Payments_Raw!$B:$B,A299,Payments_Raw!$F:$F,"Pending")&gt;0,"Pending","Unpaid")))))</f>
        <v>Failed</v>
      </c>
      <c r="N299" s="8">
        <f>SUMIFS(Payments_Raw!$E:$E,Payments_Raw!$B:$B,A299,Payments_Raw!$F:$F,"Successful")</f>
        <v>0</v>
      </c>
      <c r="O299" s="26">
        <f t="shared" si="17"/>
        <v>13851.53</v>
      </c>
      <c r="P299" s="9" t="str">
        <f t="shared" si="18"/>
        <v>Failed Payment</v>
      </c>
      <c r="Q299" s="14" t="str">
        <f t="shared" si="19"/>
        <v>Overdue</v>
      </c>
      <c r="R299" s="14"/>
    </row>
    <row r="300" spans="1:18" x14ac:dyDescent="0.25">
      <c r="A300" s="18" t="s">
        <v>935</v>
      </c>
      <c r="B300" s="8" t="s">
        <v>12</v>
      </c>
      <c r="C300" s="8" t="s">
        <v>936</v>
      </c>
      <c r="D300" s="8" t="s">
        <v>937</v>
      </c>
      <c r="E300" s="19">
        <v>46244</v>
      </c>
      <c r="F300" s="19">
        <v>46259</v>
      </c>
      <c r="G300" s="8">
        <v>9962.09</v>
      </c>
      <c r="H300" s="8" t="s">
        <v>15</v>
      </c>
      <c r="I300" s="8" t="s">
        <v>16</v>
      </c>
      <c r="J300" s="8" t="s">
        <v>17</v>
      </c>
      <c r="K300" s="8" t="s">
        <v>24</v>
      </c>
      <c r="L300" t="str">
        <f t="shared" si="16"/>
        <v>Unique</v>
      </c>
      <c r="M300" s="8" t="str">
        <f>IF(COUNTIF(Payments_Raw!$B:$B,A300)=0,"Unpaid",IF(N300&gt;=G300,"Paid",IF(N300&gt;0,"Partial Payment",IF(COUNTIFS(Payments_Raw!$B:$B,A300,Payments_Raw!$F:$F,"Failed")&gt;0,"Failed",IF(COUNTIFS(Payments_Raw!$B:$B,A300,Payments_Raw!$F:$F,"Pending")&gt;0,"Pending","Unpaid")))))</f>
        <v>Paid</v>
      </c>
      <c r="N300" s="8">
        <f>SUMIFS(Payments_Raw!$E:$E,Payments_Raw!$B:$B,A300,Payments_Raw!$F:$F,"Successful")</f>
        <v>10759.06</v>
      </c>
      <c r="O300" s="26">
        <f t="shared" si="17"/>
        <v>-796.96999999999935</v>
      </c>
      <c r="P300" s="9" t="str">
        <f t="shared" si="18"/>
        <v>No Exception</v>
      </c>
      <c r="Q300" s="14" t="str">
        <f t="shared" si="19"/>
        <v>Not Overdue</v>
      </c>
      <c r="R300" s="14"/>
    </row>
    <row r="301" spans="1:18" x14ac:dyDescent="0.25">
      <c r="A301" s="18" t="s">
        <v>938</v>
      </c>
      <c r="B301" s="8" t="s">
        <v>53</v>
      </c>
      <c r="C301" s="8" t="s">
        <v>939</v>
      </c>
      <c r="D301" s="8" t="s">
        <v>940</v>
      </c>
      <c r="E301" s="19">
        <v>46128</v>
      </c>
      <c r="F301" s="19">
        <v>46158</v>
      </c>
      <c r="G301" s="8">
        <v>7045.22</v>
      </c>
      <c r="H301" s="8" t="s">
        <v>15</v>
      </c>
      <c r="I301" s="8" t="s">
        <v>29</v>
      </c>
      <c r="J301" s="8" t="s">
        <v>17</v>
      </c>
      <c r="K301" s="8" t="s">
        <v>18</v>
      </c>
      <c r="L301" t="str">
        <f t="shared" si="16"/>
        <v>Unique</v>
      </c>
      <c r="M301" s="8" t="str">
        <f>IF(COUNTIF(Payments_Raw!$B:$B,A301)=0,"Unpaid",IF(N301&gt;=G301,"Paid",IF(N301&gt;0,"Partial Payment",IF(COUNTIFS(Payments_Raw!$B:$B,A301,Payments_Raw!$F:$F,"Failed")&gt;0,"Failed",IF(COUNTIFS(Payments_Raw!$B:$B,A301,Payments_Raw!$F:$F,"Pending")&gt;0,"Pending","Unpaid")))))</f>
        <v>Pending</v>
      </c>
      <c r="N301" s="8">
        <f>SUMIFS(Payments_Raw!$E:$E,Payments_Raw!$B:$B,A301,Payments_Raw!$F:$F,"Successful")</f>
        <v>0</v>
      </c>
      <c r="O301" s="26">
        <f t="shared" si="17"/>
        <v>7045.22</v>
      </c>
      <c r="P301" s="9" t="str">
        <f t="shared" si="18"/>
        <v>Pending Payment</v>
      </c>
      <c r="Q301" s="14" t="str">
        <f t="shared" si="19"/>
        <v>Overdue</v>
      </c>
      <c r="R301" s="14"/>
    </row>
    <row r="302" spans="1:18" x14ac:dyDescent="0.25">
      <c r="A302" s="18" t="s">
        <v>941</v>
      </c>
      <c r="B302" s="8" t="s">
        <v>57</v>
      </c>
      <c r="C302" s="8" t="s">
        <v>942</v>
      </c>
      <c r="D302" s="8" t="s">
        <v>943</v>
      </c>
      <c r="E302" s="19">
        <v>46189</v>
      </c>
      <c r="F302" s="19">
        <v>46234</v>
      </c>
      <c r="G302" s="8">
        <v>5023.21</v>
      </c>
      <c r="H302" s="8" t="s">
        <v>15</v>
      </c>
      <c r="I302" s="8" t="s">
        <v>16</v>
      </c>
      <c r="J302" s="8" t="s">
        <v>17</v>
      </c>
      <c r="K302" s="8" t="s">
        <v>24</v>
      </c>
      <c r="L302" t="str">
        <f t="shared" si="16"/>
        <v>Unique</v>
      </c>
      <c r="M302" s="8" t="str">
        <f>IF(COUNTIF(Payments_Raw!$B:$B,A302)=0,"Unpaid",IF(N302&gt;=G302,"Paid",IF(N302&gt;0,"Partial Payment",IF(COUNTIFS(Payments_Raw!$B:$B,A302,Payments_Raw!$F:$F,"Failed")&gt;0,"Failed",IF(COUNTIFS(Payments_Raw!$B:$B,A302,Payments_Raw!$F:$F,"Pending")&gt;0,"Pending","Unpaid")))))</f>
        <v>Paid</v>
      </c>
      <c r="N302" s="8">
        <f>SUMIFS(Payments_Raw!$E:$E,Payments_Raw!$B:$B,A302,Payments_Raw!$F:$F,"Successful")</f>
        <v>5425.07</v>
      </c>
      <c r="O302" s="26">
        <f t="shared" si="17"/>
        <v>-401.85999999999967</v>
      </c>
      <c r="P302" s="9" t="str">
        <f t="shared" si="18"/>
        <v>No Exception</v>
      </c>
      <c r="Q302" s="14" t="str">
        <f t="shared" si="19"/>
        <v>Not Overdue</v>
      </c>
      <c r="R302" s="14"/>
    </row>
    <row r="303" spans="1:18" x14ac:dyDescent="0.25">
      <c r="A303" s="18" t="s">
        <v>944</v>
      </c>
      <c r="B303" s="8" t="s">
        <v>41</v>
      </c>
      <c r="C303" s="8" t="s">
        <v>945</v>
      </c>
      <c r="D303" s="8" t="s">
        <v>946</v>
      </c>
      <c r="E303" s="19">
        <v>46223</v>
      </c>
      <c r="F303" s="19">
        <v>46238</v>
      </c>
      <c r="G303" s="8">
        <v>14724.68</v>
      </c>
      <c r="H303" s="8" t="s">
        <v>15</v>
      </c>
      <c r="I303" s="8" t="s">
        <v>29</v>
      </c>
      <c r="J303" s="8" t="s">
        <v>17</v>
      </c>
      <c r="K303" s="8" t="s">
        <v>63</v>
      </c>
      <c r="L303" t="str">
        <f t="shared" si="16"/>
        <v>Unique</v>
      </c>
      <c r="M303" s="8" t="str">
        <f>IF(COUNTIF(Payments_Raw!$B:$B,A303)=0,"Unpaid",IF(N303&gt;=G303,"Paid",IF(N303&gt;0,"Partial Payment",IF(COUNTIFS(Payments_Raw!$B:$B,A303,Payments_Raw!$F:$F,"Failed")&gt;0,"Failed",IF(COUNTIFS(Payments_Raw!$B:$B,A303,Payments_Raw!$F:$F,"Pending")&gt;0,"Pending","Unpaid")))))</f>
        <v>Unpaid</v>
      </c>
      <c r="N303" s="8">
        <f>SUMIFS(Payments_Raw!$E:$E,Payments_Raw!$B:$B,A303,Payments_Raw!$F:$F,"Successful")</f>
        <v>0</v>
      </c>
      <c r="O303" s="26">
        <f t="shared" si="17"/>
        <v>14724.68</v>
      </c>
      <c r="P303" s="9" t="str">
        <f t="shared" si="18"/>
        <v>Unpaid Invoice</v>
      </c>
      <c r="Q303" s="14" t="str">
        <f t="shared" si="19"/>
        <v>Overdue</v>
      </c>
      <c r="R303" s="14"/>
    </row>
    <row r="304" spans="1:18" x14ac:dyDescent="0.25">
      <c r="A304" s="18" t="s">
        <v>947</v>
      </c>
      <c r="B304" s="8" t="s">
        <v>138</v>
      </c>
      <c r="C304" s="8" t="s">
        <v>948</v>
      </c>
      <c r="D304" s="8" t="s">
        <v>949</v>
      </c>
      <c r="E304" s="19">
        <v>46066</v>
      </c>
      <c r="F304" s="19">
        <v>46111</v>
      </c>
      <c r="G304" s="8">
        <v>16842.099999999999</v>
      </c>
      <c r="H304" s="8" t="s">
        <v>15</v>
      </c>
      <c r="I304" s="8" t="s">
        <v>29</v>
      </c>
      <c r="J304" s="8" t="s">
        <v>17</v>
      </c>
      <c r="K304" s="8" t="s">
        <v>18</v>
      </c>
      <c r="L304" t="str">
        <f t="shared" si="16"/>
        <v>Duplicate</v>
      </c>
      <c r="M304" s="8" t="str">
        <f>IF(COUNTIF(Payments_Raw!$B:$B,A304)=0,"Unpaid",IF(N304&gt;=G304,"Paid",IF(N304&gt;0,"Partial Payment",IF(COUNTIFS(Payments_Raw!$B:$B,A304,Payments_Raw!$F:$F,"Failed")&gt;0,"Failed",IF(COUNTIFS(Payments_Raw!$B:$B,A304,Payments_Raw!$F:$F,"Pending")&gt;0,"Pending","Unpaid")))))</f>
        <v>Partial Payment</v>
      </c>
      <c r="N304" s="8">
        <f>SUMIFS(Payments_Raw!$E:$E,Payments_Raw!$B:$B,A304,Payments_Raw!$F:$F,"Successful")</f>
        <v>15999.99</v>
      </c>
      <c r="O304" s="26">
        <f t="shared" si="17"/>
        <v>842.10999999999876</v>
      </c>
      <c r="P304" s="9" t="str">
        <f t="shared" si="18"/>
        <v>Duplicate Invoice</v>
      </c>
      <c r="Q304" s="14" t="str">
        <f t="shared" si="19"/>
        <v>Overdue</v>
      </c>
      <c r="R304" s="14"/>
    </row>
    <row r="305" spans="1:18" x14ac:dyDescent="0.25">
      <c r="A305" s="18" t="s">
        <v>950</v>
      </c>
      <c r="B305" s="8" t="s">
        <v>36</v>
      </c>
      <c r="C305" s="8" t="s">
        <v>951</v>
      </c>
      <c r="D305" s="8" t="s">
        <v>952</v>
      </c>
      <c r="E305" s="19">
        <v>46221</v>
      </c>
      <c r="F305" s="19">
        <v>46251</v>
      </c>
      <c r="G305" s="8">
        <v>10525.79</v>
      </c>
      <c r="H305" s="8" t="s">
        <v>15</v>
      </c>
      <c r="I305" s="8" t="s">
        <v>29</v>
      </c>
      <c r="J305" s="8" t="s">
        <v>17</v>
      </c>
      <c r="K305" s="8" t="s">
        <v>24</v>
      </c>
      <c r="L305" t="str">
        <f t="shared" si="16"/>
        <v>Duplicate</v>
      </c>
      <c r="M305" s="8" t="str">
        <f>IF(COUNTIF(Payments_Raw!$B:$B,A305)=0,"Unpaid",IF(N305&gt;=G305,"Paid",IF(N305&gt;0,"Partial Payment",IF(COUNTIFS(Payments_Raw!$B:$B,A305,Payments_Raw!$F:$F,"Failed")&gt;0,"Failed",IF(COUNTIFS(Payments_Raw!$B:$B,A305,Payments_Raw!$F:$F,"Pending")&gt;0,"Pending","Unpaid")))))</f>
        <v>Paid</v>
      </c>
      <c r="N305" s="8">
        <f>SUMIFS(Payments_Raw!$E:$E,Payments_Raw!$B:$B,A305,Payments_Raw!$F:$F,"Successful")</f>
        <v>10525.79</v>
      </c>
      <c r="O305" s="26">
        <f t="shared" si="17"/>
        <v>0</v>
      </c>
      <c r="P305" s="9" t="str">
        <f t="shared" si="18"/>
        <v>Duplicate Invoice</v>
      </c>
      <c r="Q305" s="14" t="str">
        <f t="shared" si="19"/>
        <v>Not Overdue</v>
      </c>
      <c r="R305" s="14"/>
    </row>
    <row r="306" spans="1:18" x14ac:dyDescent="0.25">
      <c r="A306" s="18" t="s">
        <v>953</v>
      </c>
      <c r="B306" s="8" t="s">
        <v>12</v>
      </c>
      <c r="C306" s="8" t="s">
        <v>954</v>
      </c>
      <c r="D306" s="8" t="s">
        <v>955</v>
      </c>
      <c r="E306" s="19">
        <v>46307</v>
      </c>
      <c r="F306" s="19">
        <v>46322</v>
      </c>
      <c r="G306" s="8">
        <v>4271.6099999999997</v>
      </c>
      <c r="H306" s="8" t="s">
        <v>15</v>
      </c>
      <c r="I306" s="8" t="s">
        <v>39</v>
      </c>
      <c r="J306" s="8" t="s">
        <v>17</v>
      </c>
      <c r="K306" s="8" t="s">
        <v>63</v>
      </c>
      <c r="L306" t="str">
        <f t="shared" si="16"/>
        <v>Unique</v>
      </c>
      <c r="M306" s="8" t="str">
        <f>IF(COUNTIF(Payments_Raw!$B:$B,A306)=0,"Unpaid",IF(N306&gt;=G306,"Paid",IF(N306&gt;0,"Partial Payment",IF(COUNTIFS(Payments_Raw!$B:$B,A306,Payments_Raw!$F:$F,"Failed")&gt;0,"Failed",IF(COUNTIFS(Payments_Raw!$B:$B,A306,Payments_Raw!$F:$F,"Pending")&gt;0,"Pending","Unpaid")))))</f>
        <v>Pending</v>
      </c>
      <c r="N306" s="8">
        <f>SUMIFS(Payments_Raw!$E:$E,Payments_Raw!$B:$B,A306,Payments_Raw!$F:$F,"Successful")</f>
        <v>0</v>
      </c>
      <c r="O306" s="26">
        <f t="shared" si="17"/>
        <v>4271.6099999999997</v>
      </c>
      <c r="P306" s="9" t="str">
        <f t="shared" si="18"/>
        <v>Pending Payment</v>
      </c>
      <c r="Q306" s="14" t="str">
        <f t="shared" si="19"/>
        <v>Overdue</v>
      </c>
      <c r="R306" s="14"/>
    </row>
    <row r="307" spans="1:18" x14ac:dyDescent="0.25">
      <c r="A307" s="18" t="s">
        <v>956</v>
      </c>
      <c r="B307" s="8" t="s">
        <v>71</v>
      </c>
      <c r="C307" s="8" t="s">
        <v>957</v>
      </c>
      <c r="D307" s="8" t="s">
        <v>958</v>
      </c>
      <c r="E307" s="19">
        <v>46271</v>
      </c>
      <c r="F307" s="19">
        <v>46286</v>
      </c>
      <c r="G307" s="8">
        <v>3516.98</v>
      </c>
      <c r="H307" s="8" t="s">
        <v>15</v>
      </c>
      <c r="I307" s="8" t="s">
        <v>16</v>
      </c>
      <c r="J307" s="8" t="s">
        <v>17</v>
      </c>
      <c r="K307" s="8" t="s">
        <v>63</v>
      </c>
      <c r="L307" t="str">
        <f t="shared" si="16"/>
        <v>Unique</v>
      </c>
      <c r="M307" s="8" t="str">
        <f>IF(COUNTIF(Payments_Raw!$B:$B,A307)=0,"Unpaid",IF(N307&gt;=G307,"Paid",IF(N307&gt;0,"Partial Payment",IF(COUNTIFS(Payments_Raw!$B:$B,A307,Payments_Raw!$F:$F,"Failed")&gt;0,"Failed",IF(COUNTIFS(Payments_Raw!$B:$B,A307,Payments_Raw!$F:$F,"Pending")&gt;0,"Pending","Unpaid")))))</f>
        <v>Pending</v>
      </c>
      <c r="N307" s="8">
        <f>SUMIFS(Payments_Raw!$E:$E,Payments_Raw!$B:$B,A307,Payments_Raw!$F:$F,"Successful")</f>
        <v>0</v>
      </c>
      <c r="O307" s="26">
        <f t="shared" si="17"/>
        <v>3516.98</v>
      </c>
      <c r="P307" s="9" t="str">
        <f t="shared" si="18"/>
        <v>Pending Payment</v>
      </c>
      <c r="Q307" s="14" t="str">
        <f t="shared" si="19"/>
        <v>Overdue</v>
      </c>
      <c r="R307" s="14"/>
    </row>
    <row r="308" spans="1:18" x14ac:dyDescent="0.25">
      <c r="A308" s="18" t="s">
        <v>959</v>
      </c>
      <c r="B308" s="8" t="s">
        <v>85</v>
      </c>
      <c r="C308" s="8" t="s">
        <v>960</v>
      </c>
      <c r="D308" s="8" t="s">
        <v>961</v>
      </c>
      <c r="E308" s="19">
        <v>46250</v>
      </c>
      <c r="F308" s="19">
        <v>46295</v>
      </c>
      <c r="G308" s="8">
        <v>12278.84</v>
      </c>
      <c r="H308" s="8" t="s">
        <v>15</v>
      </c>
      <c r="I308" s="8" t="s">
        <v>39</v>
      </c>
      <c r="J308" s="8" t="s">
        <v>17</v>
      </c>
      <c r="K308" s="8" t="s">
        <v>63</v>
      </c>
      <c r="L308" t="str">
        <f t="shared" si="16"/>
        <v>Unique</v>
      </c>
      <c r="M308" s="8" t="str">
        <f>IF(COUNTIF(Payments_Raw!$B:$B,A308)=0,"Unpaid",IF(N308&gt;=G308,"Paid",IF(N308&gt;0,"Partial Payment",IF(COUNTIFS(Payments_Raw!$B:$B,A308,Payments_Raw!$F:$F,"Failed")&gt;0,"Failed",IF(COUNTIFS(Payments_Raw!$B:$B,A308,Payments_Raw!$F:$F,"Pending")&gt;0,"Pending","Unpaid")))))</f>
        <v>Unpaid</v>
      </c>
      <c r="N308" s="8">
        <f>SUMIFS(Payments_Raw!$E:$E,Payments_Raw!$B:$B,A308,Payments_Raw!$F:$F,"Successful")</f>
        <v>0</v>
      </c>
      <c r="O308" s="26">
        <f t="shared" si="17"/>
        <v>12278.84</v>
      </c>
      <c r="P308" s="9" t="str">
        <f t="shared" si="18"/>
        <v>Unpaid Invoice</v>
      </c>
      <c r="Q308" s="14" t="str">
        <f t="shared" si="19"/>
        <v>Overdue</v>
      </c>
      <c r="R308" s="14"/>
    </row>
    <row r="309" spans="1:18" x14ac:dyDescent="0.25">
      <c r="A309" s="18" t="s">
        <v>962</v>
      </c>
      <c r="B309" s="8" t="s">
        <v>20</v>
      </c>
      <c r="C309" s="8" t="s">
        <v>963</v>
      </c>
      <c r="D309" s="8" t="s">
        <v>964</v>
      </c>
      <c r="E309" s="19">
        <v>46298</v>
      </c>
      <c r="F309" s="19">
        <v>46313</v>
      </c>
      <c r="G309" s="8">
        <v>7302.12</v>
      </c>
      <c r="H309" s="8" t="s">
        <v>15</v>
      </c>
      <c r="I309" s="8" t="s">
        <v>39</v>
      </c>
      <c r="J309" s="8" t="s">
        <v>17</v>
      </c>
      <c r="K309" s="8" t="s">
        <v>24</v>
      </c>
      <c r="L309" t="str">
        <f t="shared" si="16"/>
        <v>Unique</v>
      </c>
      <c r="M309" s="8" t="str">
        <f>IF(COUNTIF(Payments_Raw!$B:$B,A309)=0,"Unpaid",IF(N309&gt;=G309,"Paid",IF(N309&gt;0,"Partial Payment",IF(COUNTIFS(Payments_Raw!$B:$B,A309,Payments_Raw!$F:$F,"Failed")&gt;0,"Failed",IF(COUNTIFS(Payments_Raw!$B:$B,A309,Payments_Raw!$F:$F,"Pending")&gt;0,"Pending","Unpaid")))))</f>
        <v>Unpaid</v>
      </c>
      <c r="N309" s="8">
        <f>SUMIFS(Payments_Raw!$E:$E,Payments_Raw!$B:$B,A309,Payments_Raw!$F:$F,"Successful")</f>
        <v>0</v>
      </c>
      <c r="O309" s="26">
        <f t="shared" si="17"/>
        <v>7302.12</v>
      </c>
      <c r="P309" s="9" t="str">
        <f t="shared" si="18"/>
        <v>Unpaid Invoice</v>
      </c>
      <c r="Q309" s="14" t="str">
        <f t="shared" si="19"/>
        <v>Overdue</v>
      </c>
      <c r="R309" s="14"/>
    </row>
    <row r="310" spans="1:18" x14ac:dyDescent="0.25">
      <c r="A310" s="18" t="s">
        <v>965</v>
      </c>
      <c r="B310" s="8" t="s">
        <v>45</v>
      </c>
      <c r="C310" s="8" t="s">
        <v>966</v>
      </c>
      <c r="D310" s="8" t="s">
        <v>967</v>
      </c>
      <c r="E310" s="19">
        <v>46081</v>
      </c>
      <c r="F310" s="19">
        <v>46111</v>
      </c>
      <c r="G310" s="8">
        <v>6785.08</v>
      </c>
      <c r="H310" s="8" t="s">
        <v>15</v>
      </c>
      <c r="I310" s="8" t="s">
        <v>39</v>
      </c>
      <c r="J310" s="8" t="s">
        <v>30</v>
      </c>
      <c r="K310" s="8" t="s">
        <v>24</v>
      </c>
      <c r="L310" t="str">
        <f t="shared" si="16"/>
        <v>Unique</v>
      </c>
      <c r="M310" s="8" t="str">
        <f>IF(COUNTIF(Payments_Raw!$B:$B,A310)=0,"Unpaid",IF(N310&gt;=G310,"Paid",IF(N310&gt;0,"Partial Payment",IF(COUNTIFS(Payments_Raw!$B:$B,A310,Payments_Raw!$F:$F,"Failed")&gt;0,"Failed",IF(COUNTIFS(Payments_Raw!$B:$B,A310,Payments_Raw!$F:$F,"Pending")&gt;0,"Pending","Unpaid")))))</f>
        <v>Unpaid</v>
      </c>
      <c r="N310" s="8">
        <f>SUMIFS(Payments_Raw!$E:$E,Payments_Raw!$B:$B,A310,Payments_Raw!$F:$F,"Successful")</f>
        <v>0</v>
      </c>
      <c r="O310" s="26">
        <f t="shared" si="17"/>
        <v>6785.08</v>
      </c>
      <c r="P310" s="9" t="str">
        <f t="shared" si="18"/>
        <v>Unpaid Invoice</v>
      </c>
      <c r="Q310" s="14" t="str">
        <f t="shared" si="19"/>
        <v>Overdue</v>
      </c>
      <c r="R310" s="14"/>
    </row>
    <row r="311" spans="1:18" x14ac:dyDescent="0.25">
      <c r="A311" s="18" t="s">
        <v>968</v>
      </c>
      <c r="B311" s="8" t="s">
        <v>112</v>
      </c>
      <c r="C311" s="8" t="s">
        <v>969</v>
      </c>
      <c r="D311" s="8" t="s">
        <v>970</v>
      </c>
      <c r="E311" s="19">
        <v>46302</v>
      </c>
      <c r="F311" s="19">
        <v>46317</v>
      </c>
      <c r="G311" s="8">
        <v>5557.32</v>
      </c>
      <c r="H311" s="8" t="s">
        <v>15</v>
      </c>
      <c r="I311" s="8" t="s">
        <v>16</v>
      </c>
      <c r="J311" s="8" t="s">
        <v>17</v>
      </c>
      <c r="K311" s="8" t="s">
        <v>18</v>
      </c>
      <c r="L311" t="str">
        <f t="shared" si="16"/>
        <v>Unique</v>
      </c>
      <c r="M311" s="8" t="str">
        <f>IF(COUNTIF(Payments_Raw!$B:$B,A311)=0,"Unpaid",IF(N311&gt;=G311,"Paid",IF(N311&gt;0,"Partial Payment",IF(COUNTIFS(Payments_Raw!$B:$B,A311,Payments_Raw!$F:$F,"Failed")&gt;0,"Failed",IF(COUNTIFS(Payments_Raw!$B:$B,A311,Payments_Raw!$F:$F,"Pending")&gt;0,"Pending","Unpaid")))))</f>
        <v>Paid</v>
      </c>
      <c r="N311" s="8">
        <f>SUMIFS(Payments_Raw!$E:$E,Payments_Raw!$B:$B,A311,Payments_Raw!$F:$F,"Successful")</f>
        <v>5557.32</v>
      </c>
      <c r="O311" s="26">
        <f t="shared" si="17"/>
        <v>0</v>
      </c>
      <c r="P311" s="9" t="str">
        <f t="shared" si="18"/>
        <v>No Exception</v>
      </c>
      <c r="Q311" s="14" t="str">
        <f t="shared" si="19"/>
        <v>Not Overdue</v>
      </c>
      <c r="R311" s="14"/>
    </row>
    <row r="312" spans="1:18" x14ac:dyDescent="0.25">
      <c r="A312" s="18" t="s">
        <v>971</v>
      </c>
      <c r="B312" s="8" t="s">
        <v>112</v>
      </c>
      <c r="C312" s="8" t="s">
        <v>972</v>
      </c>
      <c r="D312" s="8" t="s">
        <v>973</v>
      </c>
      <c r="E312" s="19">
        <v>46157</v>
      </c>
      <c r="F312" s="19">
        <v>46172</v>
      </c>
      <c r="G312" s="8">
        <v>8792.6</v>
      </c>
      <c r="H312" s="8" t="s">
        <v>15</v>
      </c>
      <c r="I312" s="8" t="s">
        <v>39</v>
      </c>
      <c r="J312" s="8" t="s">
        <v>17</v>
      </c>
      <c r="K312" s="8" t="s">
        <v>24</v>
      </c>
      <c r="L312" t="str">
        <f t="shared" si="16"/>
        <v>Unique</v>
      </c>
      <c r="M312" s="8" t="str">
        <f>IF(COUNTIF(Payments_Raw!$B:$B,A312)=0,"Unpaid",IF(N312&gt;=G312,"Paid",IF(N312&gt;0,"Partial Payment",IF(COUNTIFS(Payments_Raw!$B:$B,A312,Payments_Raw!$F:$F,"Failed")&gt;0,"Failed",IF(COUNTIFS(Payments_Raw!$B:$B,A312,Payments_Raw!$F:$F,"Pending")&gt;0,"Pending","Unpaid")))))</f>
        <v>Unpaid</v>
      </c>
      <c r="N312" s="8">
        <f>SUMIFS(Payments_Raw!$E:$E,Payments_Raw!$B:$B,A312,Payments_Raw!$F:$F,"Successful")</f>
        <v>0</v>
      </c>
      <c r="O312" s="26">
        <f t="shared" si="17"/>
        <v>8792.6</v>
      </c>
      <c r="P312" s="9" t="str">
        <f t="shared" si="18"/>
        <v>Unpaid Invoice</v>
      </c>
      <c r="Q312" s="14" t="str">
        <f t="shared" si="19"/>
        <v>Overdue</v>
      </c>
      <c r="R312" s="14"/>
    </row>
    <row r="313" spans="1:18" x14ac:dyDescent="0.25">
      <c r="A313" s="18" t="s">
        <v>974</v>
      </c>
      <c r="B313" s="8" t="s">
        <v>170</v>
      </c>
      <c r="C313" s="8" t="s">
        <v>975</v>
      </c>
      <c r="D313" s="8" t="s">
        <v>976</v>
      </c>
      <c r="E313" s="19">
        <v>46202</v>
      </c>
      <c r="F313" s="19">
        <v>46232</v>
      </c>
      <c r="G313" s="8">
        <v>21542.89</v>
      </c>
      <c r="H313" s="8" t="s">
        <v>15</v>
      </c>
      <c r="I313" s="8" t="s">
        <v>16</v>
      </c>
      <c r="J313" s="8" t="s">
        <v>17</v>
      </c>
      <c r="K313" s="8" t="s">
        <v>18</v>
      </c>
      <c r="L313" t="str">
        <f t="shared" si="16"/>
        <v>Unique</v>
      </c>
      <c r="M313" s="8" t="str">
        <f>IF(COUNTIF(Payments_Raw!$B:$B,A313)=0,"Unpaid",IF(N313&gt;=G313,"Paid",IF(N313&gt;0,"Partial Payment",IF(COUNTIFS(Payments_Raw!$B:$B,A313,Payments_Raw!$F:$F,"Failed")&gt;0,"Failed",IF(COUNTIFS(Payments_Raw!$B:$B,A313,Payments_Raw!$F:$F,"Pending")&gt;0,"Pending","Unpaid")))))</f>
        <v>Paid</v>
      </c>
      <c r="N313" s="8">
        <f>SUMIFS(Payments_Raw!$E:$E,Payments_Raw!$B:$B,A313,Payments_Raw!$F:$F,"Successful")</f>
        <v>21542.89</v>
      </c>
      <c r="O313" s="26">
        <f t="shared" si="17"/>
        <v>0</v>
      </c>
      <c r="P313" s="9" t="str">
        <f t="shared" si="18"/>
        <v>No Exception</v>
      </c>
      <c r="Q313" s="14" t="str">
        <f t="shared" si="19"/>
        <v>Not Overdue</v>
      </c>
      <c r="R313" s="14"/>
    </row>
    <row r="314" spans="1:18" x14ac:dyDescent="0.25">
      <c r="A314" s="18" t="s">
        <v>977</v>
      </c>
      <c r="B314" s="8" t="s">
        <v>89</v>
      </c>
      <c r="C314" s="8" t="s">
        <v>978</v>
      </c>
      <c r="D314" s="8" t="s">
        <v>979</v>
      </c>
      <c r="E314" s="19">
        <v>46202</v>
      </c>
      <c r="F314" s="19">
        <v>46217</v>
      </c>
      <c r="G314" s="8">
        <v>13363.15</v>
      </c>
      <c r="H314" s="8" t="s">
        <v>15</v>
      </c>
      <c r="I314" s="8" t="s">
        <v>23</v>
      </c>
      <c r="J314" s="8" t="s">
        <v>17</v>
      </c>
      <c r="K314" s="8" t="s">
        <v>24</v>
      </c>
      <c r="L314" t="str">
        <f t="shared" si="16"/>
        <v>Unique</v>
      </c>
      <c r="M314" s="8" t="str">
        <f>IF(COUNTIF(Payments_Raw!$B:$B,A314)=0,"Unpaid",IF(N314&gt;=G314,"Paid",IF(N314&gt;0,"Partial Payment",IF(COUNTIFS(Payments_Raw!$B:$B,A314,Payments_Raw!$F:$F,"Failed")&gt;0,"Failed",IF(COUNTIFS(Payments_Raw!$B:$B,A314,Payments_Raw!$F:$F,"Pending")&gt;0,"Pending","Unpaid")))))</f>
        <v>Paid</v>
      </c>
      <c r="N314" s="8">
        <f>SUMIFS(Payments_Raw!$E:$E,Payments_Raw!$B:$B,A314,Payments_Raw!$F:$F,"Successful")</f>
        <v>13363.15</v>
      </c>
      <c r="O314" s="26">
        <f t="shared" si="17"/>
        <v>0</v>
      </c>
      <c r="P314" s="9" t="str">
        <f t="shared" si="18"/>
        <v>No Exception</v>
      </c>
      <c r="Q314" s="14" t="str">
        <f t="shared" si="19"/>
        <v>Not Overdue</v>
      </c>
      <c r="R314" s="14"/>
    </row>
    <row r="315" spans="1:18" x14ac:dyDescent="0.25">
      <c r="A315" s="18" t="s">
        <v>980</v>
      </c>
      <c r="B315" s="8" t="s">
        <v>49</v>
      </c>
      <c r="C315" s="8" t="s">
        <v>981</v>
      </c>
      <c r="D315" s="8" t="s">
        <v>982</v>
      </c>
      <c r="E315" s="19">
        <v>46286</v>
      </c>
      <c r="F315" s="19">
        <v>46316</v>
      </c>
      <c r="G315" s="8">
        <v>24638.95</v>
      </c>
      <c r="H315" s="8" t="s">
        <v>15</v>
      </c>
      <c r="I315" s="8" t="s">
        <v>23</v>
      </c>
      <c r="J315" s="8" t="s">
        <v>17</v>
      </c>
      <c r="K315" s="8" t="s">
        <v>18</v>
      </c>
      <c r="L315" t="str">
        <f t="shared" si="16"/>
        <v>Unique</v>
      </c>
      <c r="M315" s="8" t="str">
        <f>IF(COUNTIF(Payments_Raw!$B:$B,A315)=0,"Unpaid",IF(N315&gt;=G315,"Paid",IF(N315&gt;0,"Partial Payment",IF(COUNTIFS(Payments_Raw!$B:$B,A315,Payments_Raw!$F:$F,"Failed")&gt;0,"Failed",IF(COUNTIFS(Payments_Raw!$B:$B,A315,Payments_Raw!$F:$F,"Pending")&gt;0,"Pending","Unpaid")))))</f>
        <v>Paid</v>
      </c>
      <c r="N315" s="8">
        <f>SUMIFS(Payments_Raw!$E:$E,Payments_Raw!$B:$B,A315,Payments_Raw!$F:$F,"Successful")</f>
        <v>24638.95</v>
      </c>
      <c r="O315" s="26">
        <f t="shared" si="17"/>
        <v>0</v>
      </c>
      <c r="P315" s="9" t="str">
        <f t="shared" si="18"/>
        <v>No Exception</v>
      </c>
      <c r="Q315" s="14" t="str">
        <f t="shared" si="19"/>
        <v>Not Overdue</v>
      </c>
      <c r="R315" s="14"/>
    </row>
    <row r="316" spans="1:18" x14ac:dyDescent="0.25">
      <c r="A316" s="18" t="s">
        <v>983</v>
      </c>
      <c r="B316" s="8" t="s">
        <v>49</v>
      </c>
      <c r="C316" s="8" t="s">
        <v>984</v>
      </c>
      <c r="D316" s="8" t="s">
        <v>985</v>
      </c>
      <c r="E316" s="19">
        <v>46087</v>
      </c>
      <c r="F316" s="19">
        <v>46117</v>
      </c>
      <c r="G316" s="8">
        <v>17571.490000000002</v>
      </c>
      <c r="H316" s="8" t="s">
        <v>15</v>
      </c>
      <c r="I316" s="8" t="s">
        <v>16</v>
      </c>
      <c r="J316" s="8" t="s">
        <v>17</v>
      </c>
      <c r="K316" s="8" t="s">
        <v>24</v>
      </c>
      <c r="L316" t="str">
        <f t="shared" si="16"/>
        <v>Unique</v>
      </c>
      <c r="M316" s="8" t="str">
        <f>IF(COUNTIF(Payments_Raw!$B:$B,A316)=0,"Unpaid",IF(N316&gt;=G316,"Paid",IF(N316&gt;0,"Partial Payment",IF(COUNTIFS(Payments_Raw!$B:$B,A316,Payments_Raw!$F:$F,"Failed")&gt;0,"Failed",IF(COUNTIFS(Payments_Raw!$B:$B,A316,Payments_Raw!$F:$F,"Pending")&gt;0,"Pending","Unpaid")))))</f>
        <v>Unpaid</v>
      </c>
      <c r="N316" s="8">
        <f>SUMIFS(Payments_Raw!$E:$E,Payments_Raw!$B:$B,A316,Payments_Raw!$F:$F,"Successful")</f>
        <v>0</v>
      </c>
      <c r="O316" s="26">
        <f t="shared" si="17"/>
        <v>17571.490000000002</v>
      </c>
      <c r="P316" s="9" t="str">
        <f t="shared" si="18"/>
        <v>Unpaid Invoice</v>
      </c>
      <c r="Q316" s="14" t="str">
        <f t="shared" si="19"/>
        <v>Overdue</v>
      </c>
      <c r="R316" s="14"/>
    </row>
    <row r="317" spans="1:18" x14ac:dyDescent="0.25">
      <c r="A317" s="18" t="s">
        <v>986</v>
      </c>
      <c r="B317" s="8" t="s">
        <v>41</v>
      </c>
      <c r="C317" s="8" t="s">
        <v>987</v>
      </c>
      <c r="D317" s="8" t="s">
        <v>988</v>
      </c>
      <c r="E317" s="19">
        <v>46273</v>
      </c>
      <c r="F317" s="19">
        <v>46288</v>
      </c>
      <c r="G317" s="8">
        <v>3657.23</v>
      </c>
      <c r="H317" s="8" t="s">
        <v>15</v>
      </c>
      <c r="I317" s="8" t="s">
        <v>16</v>
      </c>
      <c r="J317" s="8" t="s">
        <v>30</v>
      </c>
      <c r="K317" s="8" t="s">
        <v>18</v>
      </c>
      <c r="L317" t="str">
        <f t="shared" si="16"/>
        <v>Unique</v>
      </c>
      <c r="M317" s="8" t="str">
        <f>IF(COUNTIF(Payments_Raw!$B:$B,A317)=0,"Unpaid",IF(N317&gt;=G317,"Paid",IF(N317&gt;0,"Partial Payment",IF(COUNTIFS(Payments_Raw!$B:$B,A317,Payments_Raw!$F:$F,"Failed")&gt;0,"Failed",IF(COUNTIFS(Payments_Raw!$B:$B,A317,Payments_Raw!$F:$F,"Pending")&gt;0,"Pending","Unpaid")))))</f>
        <v>Paid</v>
      </c>
      <c r="N317" s="8">
        <f>SUMIFS(Payments_Raw!$E:$E,Payments_Raw!$B:$B,A317,Payments_Raw!$F:$F,"Successful")</f>
        <v>3657.23</v>
      </c>
      <c r="O317" s="26">
        <f t="shared" si="17"/>
        <v>0</v>
      </c>
      <c r="P317" s="9" t="str">
        <f t="shared" si="18"/>
        <v>No Exception</v>
      </c>
      <c r="Q317" s="14" t="str">
        <f t="shared" si="19"/>
        <v>Not Overdue</v>
      </c>
      <c r="R317" s="14"/>
    </row>
    <row r="318" spans="1:18" x14ac:dyDescent="0.25">
      <c r="A318" s="18" t="s">
        <v>989</v>
      </c>
      <c r="B318" s="8" t="s">
        <v>41</v>
      </c>
      <c r="C318" s="8" t="s">
        <v>990</v>
      </c>
      <c r="D318" s="8" t="s">
        <v>991</v>
      </c>
      <c r="E318" s="19">
        <v>46286</v>
      </c>
      <c r="F318" s="19">
        <v>46301</v>
      </c>
      <c r="G318" s="8">
        <v>18775.080000000002</v>
      </c>
      <c r="H318" s="8" t="s">
        <v>15</v>
      </c>
      <c r="I318" s="8" t="s">
        <v>23</v>
      </c>
      <c r="J318" s="8" t="s">
        <v>17</v>
      </c>
      <c r="K318" s="8" t="s">
        <v>18</v>
      </c>
      <c r="L318" t="str">
        <f t="shared" si="16"/>
        <v>Unique</v>
      </c>
      <c r="M318" s="8" t="str">
        <f>IF(COUNTIF(Payments_Raw!$B:$B,A318)=0,"Unpaid",IF(N318&gt;=G318,"Paid",IF(N318&gt;0,"Partial Payment",IF(COUNTIFS(Payments_Raw!$B:$B,A318,Payments_Raw!$F:$F,"Failed")&gt;0,"Failed",IF(COUNTIFS(Payments_Raw!$B:$B,A318,Payments_Raw!$F:$F,"Pending")&gt;0,"Pending","Unpaid")))))</f>
        <v>Pending</v>
      </c>
      <c r="N318" s="8">
        <f>SUMIFS(Payments_Raw!$E:$E,Payments_Raw!$B:$B,A318,Payments_Raw!$F:$F,"Successful")</f>
        <v>0</v>
      </c>
      <c r="O318" s="26">
        <f t="shared" si="17"/>
        <v>18775.080000000002</v>
      </c>
      <c r="P318" s="9" t="str">
        <f t="shared" si="18"/>
        <v>Pending Payment</v>
      </c>
      <c r="Q318" s="14" t="str">
        <f t="shared" si="19"/>
        <v>Overdue</v>
      </c>
      <c r="R318" s="14"/>
    </row>
    <row r="319" spans="1:18" x14ac:dyDescent="0.25">
      <c r="A319" s="18" t="s">
        <v>992</v>
      </c>
      <c r="B319" s="8" t="s">
        <v>102</v>
      </c>
      <c r="C319" s="8" t="s">
        <v>993</v>
      </c>
      <c r="D319" s="8" t="s">
        <v>994</v>
      </c>
      <c r="E319" s="19">
        <v>46257</v>
      </c>
      <c r="F319" s="19">
        <v>46302</v>
      </c>
      <c r="G319" s="8">
        <v>15914.83</v>
      </c>
      <c r="H319" s="8" t="s">
        <v>15</v>
      </c>
      <c r="I319" s="8" t="s">
        <v>16</v>
      </c>
      <c r="J319" s="8" t="s">
        <v>17</v>
      </c>
      <c r="K319" s="8" t="s">
        <v>63</v>
      </c>
      <c r="L319" t="str">
        <f t="shared" si="16"/>
        <v>Unique</v>
      </c>
      <c r="M319" s="8" t="str">
        <f>IF(COUNTIF(Payments_Raw!$B:$B,A319)=0,"Unpaid",IF(N319&gt;=G319,"Paid",IF(N319&gt;0,"Partial Payment",IF(COUNTIFS(Payments_Raw!$B:$B,A319,Payments_Raw!$F:$F,"Failed")&gt;0,"Failed",IF(COUNTIFS(Payments_Raw!$B:$B,A319,Payments_Raw!$F:$F,"Pending")&gt;0,"Pending","Unpaid")))))</f>
        <v>Paid</v>
      </c>
      <c r="N319" s="8">
        <f>SUMIFS(Payments_Raw!$E:$E,Payments_Raw!$B:$B,A319,Payments_Raw!$F:$F,"Successful")</f>
        <v>15914.83</v>
      </c>
      <c r="O319" s="26">
        <f t="shared" si="17"/>
        <v>0</v>
      </c>
      <c r="P319" s="9" t="str">
        <f t="shared" si="18"/>
        <v>No Exception</v>
      </c>
      <c r="Q319" s="14" t="str">
        <f t="shared" si="19"/>
        <v>Not Overdue</v>
      </c>
      <c r="R319" s="14"/>
    </row>
    <row r="320" spans="1:18" x14ac:dyDescent="0.25">
      <c r="A320" s="18" t="s">
        <v>995</v>
      </c>
      <c r="B320" s="8" t="s">
        <v>53</v>
      </c>
      <c r="C320" s="8" t="s">
        <v>996</v>
      </c>
      <c r="D320" s="8" t="s">
        <v>997</v>
      </c>
      <c r="E320" s="19">
        <v>46276</v>
      </c>
      <c r="F320" s="19">
        <v>46306</v>
      </c>
      <c r="G320" s="8">
        <v>6801.2</v>
      </c>
      <c r="H320" s="8" t="s">
        <v>15</v>
      </c>
      <c r="I320" s="8" t="s">
        <v>16</v>
      </c>
      <c r="J320" s="8" t="s">
        <v>17</v>
      </c>
      <c r="K320" s="8" t="s">
        <v>63</v>
      </c>
      <c r="L320" t="str">
        <f t="shared" si="16"/>
        <v>Unique</v>
      </c>
      <c r="M320" s="8" t="str">
        <f>IF(COUNTIF(Payments_Raw!$B:$B,A320)=0,"Unpaid",IF(N320&gt;=G320,"Paid",IF(N320&gt;0,"Partial Payment",IF(COUNTIFS(Payments_Raw!$B:$B,A320,Payments_Raw!$F:$F,"Failed")&gt;0,"Failed",IF(COUNTIFS(Payments_Raw!$B:$B,A320,Payments_Raw!$F:$F,"Pending")&gt;0,"Pending","Unpaid")))))</f>
        <v>Paid</v>
      </c>
      <c r="N320" s="8">
        <f>SUMIFS(Payments_Raw!$E:$E,Payments_Raw!$B:$B,A320,Payments_Raw!$F:$F,"Successful")</f>
        <v>6801.2</v>
      </c>
      <c r="O320" s="26">
        <f t="shared" si="17"/>
        <v>0</v>
      </c>
      <c r="P320" s="9" t="str">
        <f t="shared" si="18"/>
        <v>No Exception</v>
      </c>
      <c r="Q320" s="14" t="str">
        <f t="shared" si="19"/>
        <v>Not Overdue</v>
      </c>
      <c r="R320" s="14"/>
    </row>
    <row r="321" spans="1:18" x14ac:dyDescent="0.25">
      <c r="A321" s="18" t="s">
        <v>998</v>
      </c>
      <c r="B321" s="8" t="s">
        <v>26</v>
      </c>
      <c r="C321" s="8" t="s">
        <v>999</v>
      </c>
      <c r="D321" s="8" t="s">
        <v>1000</v>
      </c>
      <c r="E321" s="19">
        <v>46047</v>
      </c>
      <c r="F321" s="19">
        <v>46077</v>
      </c>
      <c r="G321" s="8">
        <v>1263.06</v>
      </c>
      <c r="H321" s="8" t="s">
        <v>15</v>
      </c>
      <c r="I321" s="8" t="s">
        <v>29</v>
      </c>
      <c r="J321" s="8" t="s">
        <v>17</v>
      </c>
      <c r="K321" s="8" t="s">
        <v>63</v>
      </c>
      <c r="L321" t="str">
        <f t="shared" si="16"/>
        <v>Unique</v>
      </c>
      <c r="M321" s="8" t="str">
        <f>IF(COUNTIF(Payments_Raw!$B:$B,A321)=0,"Unpaid",IF(N321&gt;=G321,"Paid",IF(N321&gt;0,"Partial Payment",IF(COUNTIFS(Payments_Raw!$B:$B,A321,Payments_Raw!$F:$F,"Failed")&gt;0,"Failed",IF(COUNTIFS(Payments_Raw!$B:$B,A321,Payments_Raw!$F:$F,"Pending")&gt;0,"Pending","Unpaid")))))</f>
        <v>Paid</v>
      </c>
      <c r="N321" s="8">
        <f>SUMIFS(Payments_Raw!$E:$E,Payments_Raw!$B:$B,A321,Payments_Raw!$F:$F,"Successful")</f>
        <v>1263.06</v>
      </c>
      <c r="O321" s="26">
        <f t="shared" si="17"/>
        <v>0</v>
      </c>
      <c r="P321" s="9" t="str">
        <f t="shared" si="18"/>
        <v>No Exception</v>
      </c>
      <c r="Q321" s="14" t="str">
        <f t="shared" si="19"/>
        <v>Not Overdue</v>
      </c>
      <c r="R321" s="14"/>
    </row>
    <row r="322" spans="1:18" x14ac:dyDescent="0.25">
      <c r="A322" s="18" t="s">
        <v>1001</v>
      </c>
      <c r="B322" s="8" t="s">
        <v>112</v>
      </c>
      <c r="C322" s="8" t="s">
        <v>1002</v>
      </c>
      <c r="D322" s="8" t="s">
        <v>1003</v>
      </c>
      <c r="E322" s="19">
        <v>46023</v>
      </c>
      <c r="F322" s="19">
        <v>46038</v>
      </c>
      <c r="G322" s="8">
        <v>24796.94</v>
      </c>
      <c r="H322" s="8" t="s">
        <v>15</v>
      </c>
      <c r="I322" s="8" t="s">
        <v>16</v>
      </c>
      <c r="J322" s="8" t="s">
        <v>17</v>
      </c>
      <c r="K322" s="8" t="s">
        <v>63</v>
      </c>
      <c r="L322" t="str">
        <f t="shared" si="16"/>
        <v>Unique</v>
      </c>
      <c r="M322" s="8" t="str">
        <f>IF(COUNTIF(Payments_Raw!$B:$B,A322)=0,"Unpaid",IF(N322&gt;=G322,"Paid",IF(N322&gt;0,"Partial Payment",IF(COUNTIFS(Payments_Raw!$B:$B,A322,Payments_Raw!$F:$F,"Failed")&gt;0,"Failed",IF(COUNTIFS(Payments_Raw!$B:$B,A322,Payments_Raw!$F:$F,"Pending")&gt;0,"Pending","Unpaid")))))</f>
        <v>Failed</v>
      </c>
      <c r="N322" s="8">
        <f>SUMIFS(Payments_Raw!$E:$E,Payments_Raw!$B:$B,A322,Payments_Raw!$F:$F,"Successful")</f>
        <v>0</v>
      </c>
      <c r="O322" s="26">
        <f t="shared" si="17"/>
        <v>24796.94</v>
      </c>
      <c r="P322" s="9" t="str">
        <f t="shared" si="18"/>
        <v>Failed Payment</v>
      </c>
      <c r="Q322" s="14" t="str">
        <f t="shared" si="19"/>
        <v>Overdue</v>
      </c>
      <c r="R322" s="14"/>
    </row>
    <row r="323" spans="1:18" x14ac:dyDescent="0.25">
      <c r="A323" s="18" t="s">
        <v>1004</v>
      </c>
      <c r="B323" s="8" t="s">
        <v>102</v>
      </c>
      <c r="C323" s="8" t="s">
        <v>1005</v>
      </c>
      <c r="D323" s="8" t="s">
        <v>1006</v>
      </c>
      <c r="E323" s="19">
        <v>46207</v>
      </c>
      <c r="F323" s="19">
        <v>46252</v>
      </c>
      <c r="G323" s="8">
        <v>6349.69</v>
      </c>
      <c r="H323" s="8" t="s">
        <v>15</v>
      </c>
      <c r="I323" s="8" t="s">
        <v>29</v>
      </c>
      <c r="J323" s="8" t="s">
        <v>17</v>
      </c>
      <c r="K323" s="8" t="s">
        <v>24</v>
      </c>
      <c r="L323" t="str">
        <f t="shared" ref="L323:L386" si="20">IF(COUNTIFS($B:$B,B323,$C:$C,C323)&gt;1,"Duplicate","Unique")</f>
        <v>Unique</v>
      </c>
      <c r="M323" s="8" t="str">
        <f>IF(COUNTIF(Payments_Raw!$B:$B,A323)=0,"Unpaid",IF(N323&gt;=G323,"Paid",IF(N323&gt;0,"Partial Payment",IF(COUNTIFS(Payments_Raw!$B:$B,A323,Payments_Raw!$F:$F,"Failed")&gt;0,"Failed",IF(COUNTIFS(Payments_Raw!$B:$B,A323,Payments_Raw!$F:$F,"Pending")&gt;0,"Pending","Unpaid")))))</f>
        <v>Failed</v>
      </c>
      <c r="N323" s="8">
        <f>SUMIFS(Payments_Raw!$E:$E,Payments_Raw!$B:$B,A323,Payments_Raw!$F:$F,"Successful")</f>
        <v>0</v>
      </c>
      <c r="O323" s="26">
        <f t="shared" ref="O323:O386" si="21">G323-N323</f>
        <v>6349.69</v>
      </c>
      <c r="P323" s="9" t="str">
        <f t="shared" ref="P323:P386" si="22">IF(L323="Duplicate","Duplicate Invoice",IF(M323="Failed","Failed Payment",IF(M323="Pending","Pending Payment",IF(M323="Unpaid","Unpaid Invoice",IF(M323="Partial Payment","Amount Mismatch","No Exception")))))</f>
        <v>Failed Payment</v>
      </c>
      <c r="Q323" s="14" t="str">
        <f t="shared" ref="Q323:Q386" si="23">IF(AND(G323&lt;DATE(2026,10,14),M323&lt;&gt;"Paid"),"Overdue","Not Overdue")</f>
        <v>Overdue</v>
      </c>
      <c r="R323" s="14"/>
    </row>
    <row r="324" spans="1:18" x14ac:dyDescent="0.25">
      <c r="A324" s="18" t="s">
        <v>1007</v>
      </c>
      <c r="B324" s="8" t="s">
        <v>20</v>
      </c>
      <c r="C324" s="8" t="s">
        <v>1008</v>
      </c>
      <c r="D324" s="8" t="s">
        <v>1009</v>
      </c>
      <c r="E324" s="19">
        <v>46242</v>
      </c>
      <c r="F324" s="19">
        <v>46257</v>
      </c>
      <c r="G324" s="8">
        <v>16428.47</v>
      </c>
      <c r="H324" s="8" t="s">
        <v>15</v>
      </c>
      <c r="I324" s="8" t="s">
        <v>16</v>
      </c>
      <c r="J324" s="8" t="s">
        <v>30</v>
      </c>
      <c r="K324" s="8" t="s">
        <v>18</v>
      </c>
      <c r="L324" t="str">
        <f t="shared" si="20"/>
        <v>Unique</v>
      </c>
      <c r="M324" s="8" t="str">
        <f>IF(COUNTIF(Payments_Raw!$B:$B,A324)=0,"Unpaid",IF(N324&gt;=G324,"Paid",IF(N324&gt;0,"Partial Payment",IF(COUNTIFS(Payments_Raw!$B:$B,A324,Payments_Raw!$F:$F,"Failed")&gt;0,"Failed",IF(COUNTIFS(Payments_Raw!$B:$B,A324,Payments_Raw!$F:$F,"Pending")&gt;0,"Pending","Unpaid")))))</f>
        <v>Paid</v>
      </c>
      <c r="N324" s="8">
        <f>SUMIFS(Payments_Raw!$E:$E,Payments_Raw!$B:$B,A324,Payments_Raw!$F:$F,"Successful")</f>
        <v>16428.47</v>
      </c>
      <c r="O324" s="26">
        <f t="shared" si="21"/>
        <v>0</v>
      </c>
      <c r="P324" s="9" t="str">
        <f t="shared" si="22"/>
        <v>No Exception</v>
      </c>
      <c r="Q324" s="14" t="str">
        <f t="shared" si="23"/>
        <v>Not Overdue</v>
      </c>
      <c r="R324" s="14"/>
    </row>
    <row r="325" spans="1:18" x14ac:dyDescent="0.25">
      <c r="A325" s="18" t="s">
        <v>1010</v>
      </c>
      <c r="B325" s="8" t="s">
        <v>36</v>
      </c>
      <c r="C325" s="8" t="s">
        <v>1011</v>
      </c>
      <c r="D325" s="8" t="s">
        <v>1012</v>
      </c>
      <c r="E325" s="19">
        <v>46250</v>
      </c>
      <c r="F325" s="19">
        <v>46280</v>
      </c>
      <c r="G325" s="8">
        <v>351.06</v>
      </c>
      <c r="H325" s="8" t="s">
        <v>15</v>
      </c>
      <c r="I325" s="8" t="s">
        <v>39</v>
      </c>
      <c r="J325" s="8" t="s">
        <v>17</v>
      </c>
      <c r="K325" s="8" t="s">
        <v>18</v>
      </c>
      <c r="L325" t="str">
        <f t="shared" si="20"/>
        <v>Unique</v>
      </c>
      <c r="M325" s="8" t="str">
        <f>IF(COUNTIF(Payments_Raw!$B:$B,A325)=0,"Unpaid",IF(N325&gt;=G325,"Paid",IF(N325&gt;0,"Partial Payment",IF(COUNTIFS(Payments_Raw!$B:$B,A325,Payments_Raw!$F:$F,"Failed")&gt;0,"Failed",IF(COUNTIFS(Payments_Raw!$B:$B,A325,Payments_Raw!$F:$F,"Pending")&gt;0,"Pending","Unpaid")))))</f>
        <v>Paid</v>
      </c>
      <c r="N325" s="8">
        <f>SUMIFS(Payments_Raw!$E:$E,Payments_Raw!$B:$B,A325,Payments_Raw!$F:$F,"Successful")</f>
        <v>351.06</v>
      </c>
      <c r="O325" s="26">
        <f t="shared" si="21"/>
        <v>0</v>
      </c>
      <c r="P325" s="9" t="str">
        <f t="shared" si="22"/>
        <v>No Exception</v>
      </c>
      <c r="Q325" s="14" t="str">
        <f t="shared" si="23"/>
        <v>Not Overdue</v>
      </c>
      <c r="R325" s="14"/>
    </row>
    <row r="326" spans="1:18" x14ac:dyDescent="0.25">
      <c r="A326" s="18" t="s">
        <v>1013</v>
      </c>
      <c r="B326" s="8" t="s">
        <v>41</v>
      </c>
      <c r="C326" s="8" t="s">
        <v>1014</v>
      </c>
      <c r="D326" s="8" t="s">
        <v>1015</v>
      </c>
      <c r="E326" s="19">
        <v>46068</v>
      </c>
      <c r="F326" s="19">
        <v>46083</v>
      </c>
      <c r="G326" s="8">
        <v>18301.39</v>
      </c>
      <c r="H326" s="8" t="s">
        <v>15</v>
      </c>
      <c r="I326" s="8" t="s">
        <v>23</v>
      </c>
      <c r="J326" s="8" t="s">
        <v>30</v>
      </c>
      <c r="K326" s="8" t="s">
        <v>18</v>
      </c>
      <c r="L326" t="str">
        <f t="shared" si="20"/>
        <v>Unique</v>
      </c>
      <c r="M326" s="8" t="str">
        <f>IF(COUNTIF(Payments_Raw!$B:$B,A326)=0,"Unpaid",IF(N326&gt;=G326,"Paid",IF(N326&gt;0,"Partial Payment",IF(COUNTIFS(Payments_Raw!$B:$B,A326,Payments_Raw!$F:$F,"Failed")&gt;0,"Failed",IF(COUNTIFS(Payments_Raw!$B:$B,A326,Payments_Raw!$F:$F,"Pending")&gt;0,"Pending","Unpaid")))))</f>
        <v>Paid</v>
      </c>
      <c r="N326" s="8">
        <f>SUMIFS(Payments_Raw!$E:$E,Payments_Raw!$B:$B,A326,Payments_Raw!$F:$F,"Successful")</f>
        <v>18301.39</v>
      </c>
      <c r="O326" s="26">
        <f t="shared" si="21"/>
        <v>0</v>
      </c>
      <c r="P326" s="9" t="str">
        <f t="shared" si="22"/>
        <v>No Exception</v>
      </c>
      <c r="Q326" s="14" t="str">
        <f t="shared" si="23"/>
        <v>Not Overdue</v>
      </c>
      <c r="R326" s="14"/>
    </row>
    <row r="327" spans="1:18" x14ac:dyDescent="0.25">
      <c r="A327" s="18" t="s">
        <v>1016</v>
      </c>
      <c r="B327" s="8" t="s">
        <v>122</v>
      </c>
      <c r="C327" s="8" t="s">
        <v>1017</v>
      </c>
      <c r="D327" s="8" t="s">
        <v>1018</v>
      </c>
      <c r="E327" s="19">
        <v>46058</v>
      </c>
      <c r="F327" s="19">
        <v>46073</v>
      </c>
      <c r="G327" s="8">
        <v>47750.71</v>
      </c>
      <c r="H327" s="8" t="s">
        <v>15</v>
      </c>
      <c r="I327" s="8" t="s">
        <v>39</v>
      </c>
      <c r="J327" s="8" t="s">
        <v>17</v>
      </c>
      <c r="K327" s="8" t="s">
        <v>18</v>
      </c>
      <c r="L327" t="str">
        <f t="shared" si="20"/>
        <v>Unique</v>
      </c>
      <c r="M327" s="8" t="str">
        <f>IF(COUNTIF(Payments_Raw!$B:$B,A327)=0,"Unpaid",IF(N327&gt;=G327,"Paid",IF(N327&gt;0,"Partial Payment",IF(COUNTIFS(Payments_Raw!$B:$B,A327,Payments_Raw!$F:$F,"Failed")&gt;0,"Failed",IF(COUNTIFS(Payments_Raw!$B:$B,A327,Payments_Raw!$F:$F,"Pending")&gt;0,"Pending","Unpaid")))))</f>
        <v>Pending</v>
      </c>
      <c r="N327" s="8">
        <f>SUMIFS(Payments_Raw!$E:$E,Payments_Raw!$B:$B,A327,Payments_Raw!$F:$F,"Successful")</f>
        <v>0</v>
      </c>
      <c r="O327" s="26">
        <f t="shared" si="21"/>
        <v>47750.71</v>
      </c>
      <c r="P327" s="9" t="str">
        <f t="shared" si="22"/>
        <v>Pending Payment</v>
      </c>
      <c r="Q327" s="14" t="str">
        <f t="shared" si="23"/>
        <v>Not Overdue</v>
      </c>
      <c r="R327" s="14"/>
    </row>
    <row r="328" spans="1:18" x14ac:dyDescent="0.25">
      <c r="A328" s="18" t="s">
        <v>1019</v>
      </c>
      <c r="B328" s="8" t="s">
        <v>85</v>
      </c>
      <c r="C328" s="8" t="s">
        <v>1020</v>
      </c>
      <c r="D328" s="8" t="s">
        <v>1021</v>
      </c>
      <c r="E328" s="19">
        <v>46249</v>
      </c>
      <c r="F328" s="19">
        <v>46294</v>
      </c>
      <c r="G328" s="8">
        <v>21515.87</v>
      </c>
      <c r="H328" s="8" t="s">
        <v>15</v>
      </c>
      <c r="I328" s="8" t="s">
        <v>39</v>
      </c>
      <c r="J328" s="8" t="s">
        <v>17</v>
      </c>
      <c r="K328" s="8" t="s">
        <v>63</v>
      </c>
      <c r="L328" t="str">
        <f t="shared" si="20"/>
        <v>Unique</v>
      </c>
      <c r="M328" s="8" t="str">
        <f>IF(COUNTIF(Payments_Raw!$B:$B,A328)=0,"Unpaid",IF(N328&gt;=G328,"Paid",IF(N328&gt;0,"Partial Payment",IF(COUNTIFS(Payments_Raw!$B:$B,A328,Payments_Raw!$F:$F,"Failed")&gt;0,"Failed",IF(COUNTIFS(Payments_Raw!$B:$B,A328,Payments_Raw!$F:$F,"Pending")&gt;0,"Pending","Unpaid")))))</f>
        <v>Paid</v>
      </c>
      <c r="N328" s="8">
        <f>SUMIFS(Payments_Raw!$E:$E,Payments_Raw!$B:$B,A328,Payments_Raw!$F:$F,"Successful")</f>
        <v>21515.87</v>
      </c>
      <c r="O328" s="26">
        <f t="shared" si="21"/>
        <v>0</v>
      </c>
      <c r="P328" s="9" t="str">
        <f t="shared" si="22"/>
        <v>No Exception</v>
      </c>
      <c r="Q328" s="14" t="str">
        <f t="shared" si="23"/>
        <v>Not Overdue</v>
      </c>
      <c r="R328" s="14"/>
    </row>
    <row r="329" spans="1:18" x14ac:dyDescent="0.25">
      <c r="A329" s="18" t="s">
        <v>1022</v>
      </c>
      <c r="B329" s="8" t="s">
        <v>57</v>
      </c>
      <c r="C329" s="8" t="s">
        <v>1023</v>
      </c>
      <c r="D329" s="8" t="s">
        <v>1024</v>
      </c>
      <c r="E329" s="19">
        <v>46242</v>
      </c>
      <c r="F329" s="19">
        <v>46287</v>
      </c>
      <c r="G329" s="8">
        <v>7944.85</v>
      </c>
      <c r="H329" s="8" t="s">
        <v>15</v>
      </c>
      <c r="I329" s="8" t="s">
        <v>29</v>
      </c>
      <c r="J329" s="8" t="s">
        <v>17</v>
      </c>
      <c r="K329" s="8" t="s">
        <v>24</v>
      </c>
      <c r="L329" t="str">
        <f t="shared" si="20"/>
        <v>Unique</v>
      </c>
      <c r="M329" s="8" t="str">
        <f>IF(COUNTIF(Payments_Raw!$B:$B,A329)=0,"Unpaid",IF(N329&gt;=G329,"Paid",IF(N329&gt;0,"Partial Payment",IF(COUNTIFS(Payments_Raw!$B:$B,A329,Payments_Raw!$F:$F,"Failed")&gt;0,"Failed",IF(COUNTIFS(Payments_Raw!$B:$B,A329,Payments_Raw!$F:$F,"Pending")&gt;0,"Pending","Unpaid")))))</f>
        <v>Paid</v>
      </c>
      <c r="N329" s="8">
        <f>SUMIFS(Payments_Raw!$E:$E,Payments_Raw!$B:$B,A329,Payments_Raw!$F:$F,"Successful")</f>
        <v>7944.85</v>
      </c>
      <c r="O329" s="26">
        <f t="shared" si="21"/>
        <v>0</v>
      </c>
      <c r="P329" s="9" t="str">
        <f t="shared" si="22"/>
        <v>No Exception</v>
      </c>
      <c r="Q329" s="14" t="str">
        <f t="shared" si="23"/>
        <v>Not Overdue</v>
      </c>
      <c r="R329" s="14"/>
    </row>
    <row r="330" spans="1:18" x14ac:dyDescent="0.25">
      <c r="A330" s="18" t="s">
        <v>1025</v>
      </c>
      <c r="B330" s="8" t="s">
        <v>138</v>
      </c>
      <c r="C330" s="8" t="s">
        <v>1026</v>
      </c>
      <c r="D330" s="8" t="s">
        <v>1027</v>
      </c>
      <c r="E330" s="19">
        <v>46168</v>
      </c>
      <c r="F330" s="19">
        <v>46213</v>
      </c>
      <c r="G330" s="8">
        <v>19500.759999999998</v>
      </c>
      <c r="H330" s="8" t="s">
        <v>15</v>
      </c>
      <c r="I330" s="8" t="s">
        <v>16</v>
      </c>
      <c r="J330" s="8" t="s">
        <v>17</v>
      </c>
      <c r="K330" s="8" t="s">
        <v>18</v>
      </c>
      <c r="L330" t="str">
        <f t="shared" si="20"/>
        <v>Unique</v>
      </c>
      <c r="M330" s="8" t="str">
        <f>IF(COUNTIF(Payments_Raw!$B:$B,A330)=0,"Unpaid",IF(N330&gt;=G330,"Paid",IF(N330&gt;0,"Partial Payment",IF(COUNTIFS(Payments_Raw!$B:$B,A330,Payments_Raw!$F:$F,"Failed")&gt;0,"Failed",IF(COUNTIFS(Payments_Raw!$B:$B,A330,Payments_Raw!$F:$F,"Pending")&gt;0,"Pending","Unpaid")))))</f>
        <v>Paid</v>
      </c>
      <c r="N330" s="8">
        <f>SUMIFS(Payments_Raw!$E:$E,Payments_Raw!$B:$B,A330,Payments_Raw!$F:$F,"Successful")</f>
        <v>19500.759999999998</v>
      </c>
      <c r="O330" s="26">
        <f t="shared" si="21"/>
        <v>0</v>
      </c>
      <c r="P330" s="9" t="str">
        <f t="shared" si="22"/>
        <v>No Exception</v>
      </c>
      <c r="Q330" s="14" t="str">
        <f t="shared" si="23"/>
        <v>Not Overdue</v>
      </c>
      <c r="R330" s="14"/>
    </row>
    <row r="331" spans="1:18" x14ac:dyDescent="0.25">
      <c r="A331" s="18" t="s">
        <v>1028</v>
      </c>
      <c r="B331" s="8" t="s">
        <v>41</v>
      </c>
      <c r="C331" s="8" t="s">
        <v>1029</v>
      </c>
      <c r="D331" s="8" t="s">
        <v>1030</v>
      </c>
      <c r="E331" s="19">
        <v>46174</v>
      </c>
      <c r="F331" s="19">
        <v>46189</v>
      </c>
      <c r="G331" s="8">
        <v>16196.7</v>
      </c>
      <c r="H331" s="8" t="s">
        <v>15</v>
      </c>
      <c r="I331" s="8" t="s">
        <v>16</v>
      </c>
      <c r="J331" s="8" t="s">
        <v>17</v>
      </c>
      <c r="K331" s="8" t="s">
        <v>24</v>
      </c>
      <c r="L331" t="str">
        <f t="shared" si="20"/>
        <v>Unique</v>
      </c>
      <c r="M331" s="8" t="str">
        <f>IF(COUNTIF(Payments_Raw!$B:$B,A331)=0,"Unpaid",IF(N331&gt;=G331,"Paid",IF(N331&gt;0,"Partial Payment",IF(COUNTIFS(Payments_Raw!$B:$B,A331,Payments_Raw!$F:$F,"Failed")&gt;0,"Failed",IF(COUNTIFS(Payments_Raw!$B:$B,A331,Payments_Raw!$F:$F,"Pending")&gt;0,"Pending","Unpaid")))))</f>
        <v>Paid</v>
      </c>
      <c r="N331" s="8">
        <f>SUMIFS(Payments_Raw!$E:$E,Payments_Raw!$B:$B,A331,Payments_Raw!$F:$F,"Successful")</f>
        <v>16682.599999999999</v>
      </c>
      <c r="O331" s="26">
        <f t="shared" si="21"/>
        <v>-485.89999999999782</v>
      </c>
      <c r="P331" s="9" t="str">
        <f t="shared" si="22"/>
        <v>No Exception</v>
      </c>
      <c r="Q331" s="14" t="str">
        <f t="shared" si="23"/>
        <v>Not Overdue</v>
      </c>
      <c r="R331" s="14"/>
    </row>
    <row r="332" spans="1:18" x14ac:dyDescent="0.25">
      <c r="A332" s="18" t="s">
        <v>1031</v>
      </c>
      <c r="B332" s="8" t="s">
        <v>138</v>
      </c>
      <c r="C332" s="8" t="s">
        <v>1032</v>
      </c>
      <c r="D332" s="8" t="s">
        <v>1033</v>
      </c>
      <c r="E332" s="19">
        <v>46059</v>
      </c>
      <c r="F332" s="19">
        <v>46104</v>
      </c>
      <c r="G332" s="8">
        <v>13263.77</v>
      </c>
      <c r="H332" s="8" t="s">
        <v>15</v>
      </c>
      <c r="I332" s="8" t="s">
        <v>29</v>
      </c>
      <c r="J332" s="8" t="s">
        <v>17</v>
      </c>
      <c r="K332" s="8" t="s">
        <v>24</v>
      </c>
      <c r="L332" t="str">
        <f t="shared" si="20"/>
        <v>Unique</v>
      </c>
      <c r="M332" s="8" t="str">
        <f>IF(COUNTIF(Payments_Raw!$B:$B,A332)=0,"Unpaid",IF(N332&gt;=G332,"Paid",IF(N332&gt;0,"Partial Payment",IF(COUNTIFS(Payments_Raw!$B:$B,A332,Payments_Raw!$F:$F,"Failed")&gt;0,"Failed",IF(COUNTIFS(Payments_Raw!$B:$B,A332,Payments_Raw!$F:$F,"Pending")&gt;0,"Pending","Unpaid")))))</f>
        <v>Paid</v>
      </c>
      <c r="N332" s="8">
        <f>SUMIFS(Payments_Raw!$E:$E,Payments_Raw!$B:$B,A332,Payments_Raw!$F:$F,"Successful")</f>
        <v>13263.77</v>
      </c>
      <c r="O332" s="26">
        <f t="shared" si="21"/>
        <v>0</v>
      </c>
      <c r="P332" s="9" t="str">
        <f t="shared" si="22"/>
        <v>No Exception</v>
      </c>
      <c r="Q332" s="14" t="str">
        <f t="shared" si="23"/>
        <v>Not Overdue</v>
      </c>
      <c r="R332" s="14"/>
    </row>
    <row r="333" spans="1:18" x14ac:dyDescent="0.25">
      <c r="A333" s="18" t="s">
        <v>1034</v>
      </c>
      <c r="B333" s="8" t="s">
        <v>85</v>
      </c>
      <c r="C333" s="8" t="s">
        <v>1035</v>
      </c>
      <c r="D333" s="8" t="s">
        <v>1036</v>
      </c>
      <c r="E333" s="19">
        <v>46210</v>
      </c>
      <c r="F333" s="19">
        <v>46255</v>
      </c>
      <c r="G333" s="8">
        <v>13713.34</v>
      </c>
      <c r="H333" s="8" t="s">
        <v>15</v>
      </c>
      <c r="I333" s="8" t="s">
        <v>29</v>
      </c>
      <c r="J333" s="8" t="s">
        <v>17</v>
      </c>
      <c r="K333" s="8" t="s">
        <v>18</v>
      </c>
      <c r="L333" t="str">
        <f t="shared" si="20"/>
        <v>Duplicate</v>
      </c>
      <c r="M333" s="8" t="str">
        <f>IF(COUNTIF(Payments_Raw!$B:$B,A333)=0,"Unpaid",IF(N333&gt;=G333,"Paid",IF(N333&gt;0,"Partial Payment",IF(COUNTIFS(Payments_Raw!$B:$B,A333,Payments_Raw!$F:$F,"Failed")&gt;0,"Failed",IF(COUNTIFS(Payments_Raw!$B:$B,A333,Payments_Raw!$F:$F,"Pending")&gt;0,"Pending","Unpaid")))))</f>
        <v>Pending</v>
      </c>
      <c r="N333" s="8">
        <f>SUMIFS(Payments_Raw!$E:$E,Payments_Raw!$B:$B,A333,Payments_Raw!$F:$F,"Successful")</f>
        <v>0</v>
      </c>
      <c r="O333" s="26">
        <f t="shared" si="21"/>
        <v>13713.34</v>
      </c>
      <c r="P333" s="9" t="str">
        <f t="shared" si="22"/>
        <v>Duplicate Invoice</v>
      </c>
      <c r="Q333" s="14" t="str">
        <f t="shared" si="23"/>
        <v>Overdue</v>
      </c>
      <c r="R333" s="14"/>
    </row>
    <row r="334" spans="1:18" x14ac:dyDescent="0.25">
      <c r="A334" s="18" t="s">
        <v>1037</v>
      </c>
      <c r="B334" s="8" t="s">
        <v>49</v>
      </c>
      <c r="C334" s="8" t="s">
        <v>1038</v>
      </c>
      <c r="D334" s="8" t="s">
        <v>1039</v>
      </c>
      <c r="E334" s="19">
        <v>46133</v>
      </c>
      <c r="F334" s="19">
        <v>46163</v>
      </c>
      <c r="G334" s="8">
        <v>52625.15</v>
      </c>
      <c r="H334" s="8" t="s">
        <v>15</v>
      </c>
      <c r="I334" s="8" t="s">
        <v>16</v>
      </c>
      <c r="J334" s="8" t="s">
        <v>17</v>
      </c>
      <c r="K334" s="8" t="s">
        <v>63</v>
      </c>
      <c r="L334" t="str">
        <f t="shared" si="20"/>
        <v>Unique</v>
      </c>
      <c r="M334" s="8" t="str">
        <f>IF(COUNTIF(Payments_Raw!$B:$B,A334)=0,"Unpaid",IF(N334&gt;=G334,"Paid",IF(N334&gt;0,"Partial Payment",IF(COUNTIFS(Payments_Raw!$B:$B,A334,Payments_Raw!$F:$F,"Failed")&gt;0,"Failed",IF(COUNTIFS(Payments_Raw!$B:$B,A334,Payments_Raw!$F:$F,"Pending")&gt;0,"Pending","Unpaid")))))</f>
        <v>Unpaid</v>
      </c>
      <c r="N334" s="8">
        <f>SUMIFS(Payments_Raw!$E:$E,Payments_Raw!$B:$B,A334,Payments_Raw!$F:$F,"Successful")</f>
        <v>0</v>
      </c>
      <c r="O334" s="26">
        <f t="shared" si="21"/>
        <v>52625.15</v>
      </c>
      <c r="P334" s="9" t="str">
        <f t="shared" si="22"/>
        <v>Unpaid Invoice</v>
      </c>
      <c r="Q334" s="14" t="str">
        <f t="shared" si="23"/>
        <v>Not Overdue</v>
      </c>
      <c r="R334" s="14"/>
    </row>
    <row r="335" spans="1:18" x14ac:dyDescent="0.25">
      <c r="A335" s="18" t="s">
        <v>1040</v>
      </c>
      <c r="B335" s="8" t="s">
        <v>85</v>
      </c>
      <c r="C335" s="8" t="s">
        <v>1041</v>
      </c>
      <c r="D335" s="8" t="s">
        <v>1042</v>
      </c>
      <c r="E335" s="19">
        <v>46228</v>
      </c>
      <c r="F335" s="19">
        <v>46273</v>
      </c>
      <c r="G335" s="8">
        <v>2170.8000000000002</v>
      </c>
      <c r="H335" s="8" t="s">
        <v>15</v>
      </c>
      <c r="I335" s="8" t="s">
        <v>16</v>
      </c>
      <c r="J335" s="8" t="s">
        <v>17</v>
      </c>
      <c r="K335" s="8" t="s">
        <v>24</v>
      </c>
      <c r="L335" t="str">
        <f t="shared" si="20"/>
        <v>Unique</v>
      </c>
      <c r="M335" s="8" t="str">
        <f>IF(COUNTIF(Payments_Raw!$B:$B,A335)=0,"Unpaid",IF(N335&gt;=G335,"Paid",IF(N335&gt;0,"Partial Payment",IF(COUNTIFS(Payments_Raw!$B:$B,A335,Payments_Raw!$F:$F,"Failed")&gt;0,"Failed",IF(COUNTIFS(Payments_Raw!$B:$B,A335,Payments_Raw!$F:$F,"Pending")&gt;0,"Pending","Unpaid")))))</f>
        <v>Paid</v>
      </c>
      <c r="N335" s="8">
        <f>SUMIFS(Payments_Raw!$E:$E,Payments_Raw!$B:$B,A335,Payments_Raw!$F:$F,"Successful")</f>
        <v>2170.8000000000002</v>
      </c>
      <c r="O335" s="26">
        <f t="shared" si="21"/>
        <v>0</v>
      </c>
      <c r="P335" s="9" t="str">
        <f t="shared" si="22"/>
        <v>No Exception</v>
      </c>
      <c r="Q335" s="14" t="str">
        <f t="shared" si="23"/>
        <v>Not Overdue</v>
      </c>
      <c r="R335" s="14"/>
    </row>
    <row r="336" spans="1:18" x14ac:dyDescent="0.25">
      <c r="A336" s="18" t="s">
        <v>1043</v>
      </c>
      <c r="B336" s="8" t="s">
        <v>53</v>
      </c>
      <c r="C336" s="8" t="s">
        <v>1044</v>
      </c>
      <c r="D336" s="8" t="s">
        <v>1045</v>
      </c>
      <c r="E336" s="19">
        <v>46102</v>
      </c>
      <c r="F336" s="19">
        <v>46132</v>
      </c>
      <c r="G336" s="8">
        <v>13465.39</v>
      </c>
      <c r="H336" s="8" t="s">
        <v>15</v>
      </c>
      <c r="I336" s="8" t="s">
        <v>39</v>
      </c>
      <c r="J336" s="8" t="s">
        <v>17</v>
      </c>
      <c r="K336" s="8" t="s">
        <v>18</v>
      </c>
      <c r="L336" t="str">
        <f t="shared" si="20"/>
        <v>Unique</v>
      </c>
      <c r="M336" s="8" t="str">
        <f>IF(COUNTIF(Payments_Raw!$B:$B,A336)=0,"Unpaid",IF(N336&gt;=G336,"Paid",IF(N336&gt;0,"Partial Payment",IF(COUNTIFS(Payments_Raw!$B:$B,A336,Payments_Raw!$F:$F,"Failed")&gt;0,"Failed",IF(COUNTIFS(Payments_Raw!$B:$B,A336,Payments_Raw!$F:$F,"Pending")&gt;0,"Pending","Unpaid")))))</f>
        <v>Paid</v>
      </c>
      <c r="N336" s="8">
        <f>SUMIFS(Payments_Raw!$E:$E,Payments_Raw!$B:$B,A336,Payments_Raw!$F:$F,"Successful")</f>
        <v>13465.39</v>
      </c>
      <c r="O336" s="26">
        <f t="shared" si="21"/>
        <v>0</v>
      </c>
      <c r="P336" s="9" t="str">
        <f t="shared" si="22"/>
        <v>No Exception</v>
      </c>
      <c r="Q336" s="14" t="str">
        <f t="shared" si="23"/>
        <v>Not Overdue</v>
      </c>
      <c r="R336" s="14"/>
    </row>
    <row r="337" spans="1:18" x14ac:dyDescent="0.25">
      <c r="A337" s="18" t="s">
        <v>1046</v>
      </c>
      <c r="B337" s="8" t="s">
        <v>163</v>
      </c>
      <c r="C337" s="8" t="s">
        <v>1047</v>
      </c>
      <c r="D337" s="8" t="s">
        <v>1048</v>
      </c>
      <c r="E337" s="19">
        <v>46246</v>
      </c>
      <c r="F337" s="19">
        <v>46261</v>
      </c>
      <c r="G337" s="8">
        <v>18281.36</v>
      </c>
      <c r="H337" s="8" t="s">
        <v>15</v>
      </c>
      <c r="I337" s="8" t="s">
        <v>29</v>
      </c>
      <c r="J337" s="8" t="s">
        <v>17</v>
      </c>
      <c r="K337" s="8" t="s">
        <v>63</v>
      </c>
      <c r="L337" t="str">
        <f t="shared" si="20"/>
        <v>Unique</v>
      </c>
      <c r="M337" s="8" t="str">
        <f>IF(COUNTIF(Payments_Raw!$B:$B,A337)=0,"Unpaid",IF(N337&gt;=G337,"Paid",IF(N337&gt;0,"Partial Payment",IF(COUNTIFS(Payments_Raw!$B:$B,A337,Payments_Raw!$F:$F,"Failed")&gt;0,"Failed",IF(COUNTIFS(Payments_Raw!$B:$B,A337,Payments_Raw!$F:$F,"Pending")&gt;0,"Pending","Unpaid")))))</f>
        <v>Unpaid</v>
      </c>
      <c r="N337" s="8">
        <f>SUMIFS(Payments_Raw!$E:$E,Payments_Raw!$B:$B,A337,Payments_Raw!$F:$F,"Successful")</f>
        <v>0</v>
      </c>
      <c r="O337" s="26">
        <f t="shared" si="21"/>
        <v>18281.36</v>
      </c>
      <c r="P337" s="9" t="str">
        <f t="shared" si="22"/>
        <v>Unpaid Invoice</v>
      </c>
      <c r="Q337" s="14" t="str">
        <f t="shared" si="23"/>
        <v>Overdue</v>
      </c>
      <c r="R337" s="14"/>
    </row>
    <row r="338" spans="1:18" x14ac:dyDescent="0.25">
      <c r="A338" s="18" t="s">
        <v>1049</v>
      </c>
      <c r="B338" s="8" t="s">
        <v>138</v>
      </c>
      <c r="C338" s="8" t="s">
        <v>1050</v>
      </c>
      <c r="D338" s="8" t="s">
        <v>1051</v>
      </c>
      <c r="E338" s="19">
        <v>46051</v>
      </c>
      <c r="F338" s="19">
        <v>46096</v>
      </c>
      <c r="G338" s="8">
        <v>7815.14</v>
      </c>
      <c r="H338" s="8" t="s">
        <v>15</v>
      </c>
      <c r="I338" s="8" t="s">
        <v>29</v>
      </c>
      <c r="J338" s="8" t="s">
        <v>30</v>
      </c>
      <c r="K338" s="8" t="s">
        <v>18</v>
      </c>
      <c r="L338" t="str">
        <f t="shared" si="20"/>
        <v>Unique</v>
      </c>
      <c r="M338" s="8" t="str">
        <f>IF(COUNTIF(Payments_Raw!$B:$B,A338)=0,"Unpaid",IF(N338&gt;=G338,"Paid",IF(N338&gt;0,"Partial Payment",IF(COUNTIFS(Payments_Raw!$B:$B,A338,Payments_Raw!$F:$F,"Failed")&gt;0,"Failed",IF(COUNTIFS(Payments_Raw!$B:$B,A338,Payments_Raw!$F:$F,"Pending")&gt;0,"Pending","Unpaid")))))</f>
        <v>Pending</v>
      </c>
      <c r="N338" s="8">
        <f>SUMIFS(Payments_Raw!$E:$E,Payments_Raw!$B:$B,A338,Payments_Raw!$F:$F,"Successful")</f>
        <v>0</v>
      </c>
      <c r="O338" s="26">
        <f t="shared" si="21"/>
        <v>7815.14</v>
      </c>
      <c r="P338" s="9" t="str">
        <f t="shared" si="22"/>
        <v>Pending Payment</v>
      </c>
      <c r="Q338" s="14" t="str">
        <f t="shared" si="23"/>
        <v>Overdue</v>
      </c>
      <c r="R338" s="14"/>
    </row>
    <row r="339" spans="1:18" x14ac:dyDescent="0.25">
      <c r="A339" s="18" t="s">
        <v>1052</v>
      </c>
      <c r="B339" s="8" t="s">
        <v>12</v>
      </c>
      <c r="C339" s="8" t="s">
        <v>1053</v>
      </c>
      <c r="D339" s="8" t="s">
        <v>1054</v>
      </c>
      <c r="E339" s="19">
        <v>46277</v>
      </c>
      <c r="F339" s="19">
        <v>46292</v>
      </c>
      <c r="G339" s="8">
        <v>23831.040000000001</v>
      </c>
      <c r="H339" s="8" t="s">
        <v>15</v>
      </c>
      <c r="I339" s="8" t="s">
        <v>16</v>
      </c>
      <c r="J339" s="8" t="s">
        <v>17</v>
      </c>
      <c r="K339" s="8" t="s">
        <v>63</v>
      </c>
      <c r="L339" t="str">
        <f t="shared" si="20"/>
        <v>Unique</v>
      </c>
      <c r="M339" s="8" t="str">
        <f>IF(COUNTIF(Payments_Raw!$B:$B,A339)=0,"Unpaid",IF(N339&gt;=G339,"Paid",IF(N339&gt;0,"Partial Payment",IF(COUNTIFS(Payments_Raw!$B:$B,A339,Payments_Raw!$F:$F,"Failed")&gt;0,"Failed",IF(COUNTIFS(Payments_Raw!$B:$B,A339,Payments_Raw!$F:$F,"Pending")&gt;0,"Pending","Unpaid")))))</f>
        <v>Unpaid</v>
      </c>
      <c r="N339" s="8">
        <f>SUMIFS(Payments_Raw!$E:$E,Payments_Raw!$B:$B,A339,Payments_Raw!$F:$F,"Successful")</f>
        <v>0</v>
      </c>
      <c r="O339" s="26">
        <f t="shared" si="21"/>
        <v>23831.040000000001</v>
      </c>
      <c r="P339" s="9" t="str">
        <f t="shared" si="22"/>
        <v>Unpaid Invoice</v>
      </c>
      <c r="Q339" s="14" t="str">
        <f t="shared" si="23"/>
        <v>Overdue</v>
      </c>
      <c r="R339" s="14"/>
    </row>
    <row r="340" spans="1:18" x14ac:dyDescent="0.25">
      <c r="A340" s="18" t="s">
        <v>1055</v>
      </c>
      <c r="B340" s="8" t="s">
        <v>45</v>
      </c>
      <c r="C340" s="8" t="s">
        <v>1056</v>
      </c>
      <c r="D340" s="8" t="s">
        <v>1057</v>
      </c>
      <c r="E340" s="19">
        <v>46038</v>
      </c>
      <c r="F340" s="19">
        <v>46068</v>
      </c>
      <c r="G340" s="8">
        <v>8455.07</v>
      </c>
      <c r="H340" s="8" t="s">
        <v>15</v>
      </c>
      <c r="I340" s="8" t="s">
        <v>16</v>
      </c>
      <c r="J340" s="8" t="s">
        <v>17</v>
      </c>
      <c r="K340" s="8" t="s">
        <v>24</v>
      </c>
      <c r="L340" t="str">
        <f t="shared" si="20"/>
        <v>Duplicate</v>
      </c>
      <c r="M340" s="8" t="str">
        <f>IF(COUNTIF(Payments_Raw!$B:$B,A340)=0,"Unpaid",IF(N340&gt;=G340,"Paid",IF(N340&gt;0,"Partial Payment",IF(COUNTIFS(Payments_Raw!$B:$B,A340,Payments_Raw!$F:$F,"Failed")&gt;0,"Failed",IF(COUNTIFS(Payments_Raw!$B:$B,A340,Payments_Raw!$F:$F,"Pending")&gt;0,"Pending","Unpaid")))))</f>
        <v>Paid</v>
      </c>
      <c r="N340" s="8">
        <f>SUMIFS(Payments_Raw!$E:$E,Payments_Raw!$B:$B,A340,Payments_Raw!$F:$F,"Successful")</f>
        <v>8455.07</v>
      </c>
      <c r="O340" s="26">
        <f t="shared" si="21"/>
        <v>0</v>
      </c>
      <c r="P340" s="9" t="str">
        <f t="shared" si="22"/>
        <v>Duplicate Invoice</v>
      </c>
      <c r="Q340" s="14" t="str">
        <f t="shared" si="23"/>
        <v>Not Overdue</v>
      </c>
      <c r="R340" s="14"/>
    </row>
    <row r="341" spans="1:18" x14ac:dyDescent="0.25">
      <c r="A341" s="18" t="s">
        <v>1058</v>
      </c>
      <c r="B341" s="8" t="s">
        <v>102</v>
      </c>
      <c r="C341" s="8" t="s">
        <v>1059</v>
      </c>
      <c r="D341" s="8" t="s">
        <v>1060</v>
      </c>
      <c r="E341" s="19">
        <v>46277</v>
      </c>
      <c r="F341" s="19">
        <v>46322</v>
      </c>
      <c r="G341" s="8">
        <v>11445.32</v>
      </c>
      <c r="H341" s="8" t="s">
        <v>15</v>
      </c>
      <c r="I341" s="8" t="s">
        <v>29</v>
      </c>
      <c r="J341" s="8" t="s">
        <v>17</v>
      </c>
      <c r="K341" s="8" t="s">
        <v>18</v>
      </c>
      <c r="L341" t="str">
        <f t="shared" si="20"/>
        <v>Unique</v>
      </c>
      <c r="M341" s="8" t="str">
        <f>IF(COUNTIF(Payments_Raw!$B:$B,A341)=0,"Unpaid",IF(N341&gt;=G341,"Paid",IF(N341&gt;0,"Partial Payment",IF(COUNTIFS(Payments_Raw!$B:$B,A341,Payments_Raw!$F:$F,"Failed")&gt;0,"Failed",IF(COUNTIFS(Payments_Raw!$B:$B,A341,Payments_Raw!$F:$F,"Pending")&gt;0,"Pending","Unpaid")))))</f>
        <v>Paid</v>
      </c>
      <c r="N341" s="8">
        <f>SUMIFS(Payments_Raw!$E:$E,Payments_Raw!$B:$B,A341,Payments_Raw!$F:$F,"Successful")</f>
        <v>11445.32</v>
      </c>
      <c r="O341" s="26">
        <f t="shared" si="21"/>
        <v>0</v>
      </c>
      <c r="P341" s="9" t="str">
        <f t="shared" si="22"/>
        <v>No Exception</v>
      </c>
      <c r="Q341" s="14" t="str">
        <f t="shared" si="23"/>
        <v>Not Overdue</v>
      </c>
      <c r="R341" s="14"/>
    </row>
    <row r="342" spans="1:18" x14ac:dyDescent="0.25">
      <c r="A342" s="18" t="s">
        <v>1061</v>
      </c>
      <c r="B342" s="8" t="s">
        <v>170</v>
      </c>
      <c r="C342" s="8" t="s">
        <v>1062</v>
      </c>
      <c r="D342" s="8" t="s">
        <v>1063</v>
      </c>
      <c r="E342" s="19">
        <v>46082</v>
      </c>
      <c r="F342" s="19">
        <v>46112</v>
      </c>
      <c r="G342" s="8">
        <v>5802.7</v>
      </c>
      <c r="H342" s="8" t="s">
        <v>15</v>
      </c>
      <c r="I342" s="8" t="s">
        <v>16</v>
      </c>
      <c r="J342" s="8" t="s">
        <v>17</v>
      </c>
      <c r="K342" s="8" t="s">
        <v>63</v>
      </c>
      <c r="L342" t="str">
        <f t="shared" si="20"/>
        <v>Unique</v>
      </c>
      <c r="M342" s="8" t="str">
        <f>IF(COUNTIF(Payments_Raw!$B:$B,A342)=0,"Unpaid",IF(N342&gt;=G342,"Paid",IF(N342&gt;0,"Partial Payment",IF(COUNTIFS(Payments_Raw!$B:$B,A342,Payments_Raw!$F:$F,"Failed")&gt;0,"Failed",IF(COUNTIFS(Payments_Raw!$B:$B,A342,Payments_Raw!$F:$F,"Pending")&gt;0,"Pending","Unpaid")))))</f>
        <v>Failed</v>
      </c>
      <c r="N342" s="8">
        <f>SUMIFS(Payments_Raw!$E:$E,Payments_Raw!$B:$B,A342,Payments_Raw!$F:$F,"Successful")</f>
        <v>0</v>
      </c>
      <c r="O342" s="26">
        <f t="shared" si="21"/>
        <v>5802.7</v>
      </c>
      <c r="P342" s="9" t="str">
        <f t="shared" si="22"/>
        <v>Failed Payment</v>
      </c>
      <c r="Q342" s="14" t="str">
        <f t="shared" si="23"/>
        <v>Overdue</v>
      </c>
      <c r="R342" s="14"/>
    </row>
    <row r="343" spans="1:18" x14ac:dyDescent="0.25">
      <c r="A343" s="18" t="s">
        <v>1064</v>
      </c>
      <c r="B343" s="8" t="s">
        <v>122</v>
      </c>
      <c r="C343" s="8" t="s">
        <v>1065</v>
      </c>
      <c r="D343" s="8" t="s">
        <v>1066</v>
      </c>
      <c r="E343" s="19">
        <v>46114</v>
      </c>
      <c r="F343" s="19">
        <v>46129</v>
      </c>
      <c r="G343" s="8">
        <v>23287.26</v>
      </c>
      <c r="H343" s="8" t="s">
        <v>15</v>
      </c>
      <c r="I343" s="8" t="s">
        <v>23</v>
      </c>
      <c r="J343" s="8" t="s">
        <v>17</v>
      </c>
      <c r="K343" s="8" t="s">
        <v>63</v>
      </c>
      <c r="L343" t="str">
        <f t="shared" si="20"/>
        <v>Unique</v>
      </c>
      <c r="M343" s="8" t="str">
        <f>IF(COUNTIF(Payments_Raw!$B:$B,A343)=0,"Unpaid",IF(N343&gt;=G343,"Paid",IF(N343&gt;0,"Partial Payment",IF(COUNTIFS(Payments_Raw!$B:$B,A343,Payments_Raw!$F:$F,"Failed")&gt;0,"Failed",IF(COUNTIFS(Payments_Raw!$B:$B,A343,Payments_Raw!$F:$F,"Pending")&gt;0,"Pending","Unpaid")))))</f>
        <v>Paid</v>
      </c>
      <c r="N343" s="8">
        <f>SUMIFS(Payments_Raw!$E:$E,Payments_Raw!$B:$B,A343,Payments_Raw!$F:$F,"Successful")</f>
        <v>25150.240000000002</v>
      </c>
      <c r="O343" s="26">
        <f t="shared" si="21"/>
        <v>-1862.9800000000032</v>
      </c>
      <c r="P343" s="9" t="str">
        <f t="shared" si="22"/>
        <v>No Exception</v>
      </c>
      <c r="Q343" s="14" t="str">
        <f t="shared" si="23"/>
        <v>Not Overdue</v>
      </c>
      <c r="R343" s="14"/>
    </row>
    <row r="344" spans="1:18" x14ac:dyDescent="0.25">
      <c r="A344" s="18" t="s">
        <v>1067</v>
      </c>
      <c r="B344" s="8" t="s">
        <v>20</v>
      </c>
      <c r="C344" s="8" t="s">
        <v>1068</v>
      </c>
      <c r="D344" s="8" t="s">
        <v>1069</v>
      </c>
      <c r="E344" s="19">
        <v>46187</v>
      </c>
      <c r="F344" s="19">
        <v>46202</v>
      </c>
      <c r="G344" s="8">
        <v>6296.79</v>
      </c>
      <c r="H344" s="8" t="s">
        <v>15</v>
      </c>
      <c r="I344" s="8" t="s">
        <v>39</v>
      </c>
      <c r="J344" s="8" t="s">
        <v>17</v>
      </c>
      <c r="K344" s="8" t="s">
        <v>18</v>
      </c>
      <c r="L344" t="str">
        <f t="shared" si="20"/>
        <v>Unique</v>
      </c>
      <c r="M344" s="8" t="str">
        <f>IF(COUNTIF(Payments_Raw!$B:$B,A344)=0,"Unpaid",IF(N344&gt;=G344,"Paid",IF(N344&gt;0,"Partial Payment",IF(COUNTIFS(Payments_Raw!$B:$B,A344,Payments_Raw!$F:$F,"Failed")&gt;0,"Failed",IF(COUNTIFS(Payments_Raw!$B:$B,A344,Payments_Raw!$F:$F,"Pending")&gt;0,"Pending","Unpaid")))))</f>
        <v>Paid</v>
      </c>
      <c r="N344" s="8">
        <f>SUMIFS(Payments_Raw!$E:$E,Payments_Raw!$B:$B,A344,Payments_Raw!$F:$F,"Successful")</f>
        <v>6296.79</v>
      </c>
      <c r="O344" s="26">
        <f t="shared" si="21"/>
        <v>0</v>
      </c>
      <c r="P344" s="9" t="str">
        <f t="shared" si="22"/>
        <v>No Exception</v>
      </c>
      <c r="Q344" s="14" t="str">
        <f t="shared" si="23"/>
        <v>Not Overdue</v>
      </c>
      <c r="R344" s="14"/>
    </row>
    <row r="345" spans="1:18" x14ac:dyDescent="0.25">
      <c r="A345" s="18" t="s">
        <v>1070</v>
      </c>
      <c r="B345" s="8" t="s">
        <v>36</v>
      </c>
      <c r="C345" s="8" t="s">
        <v>1071</v>
      </c>
      <c r="D345" s="8" t="s">
        <v>1072</v>
      </c>
      <c r="E345" s="19">
        <v>46049</v>
      </c>
      <c r="F345" s="19">
        <v>46079</v>
      </c>
      <c r="G345" s="8">
        <v>4582.09</v>
      </c>
      <c r="H345" s="8" t="s">
        <v>15</v>
      </c>
      <c r="I345" s="8" t="s">
        <v>29</v>
      </c>
      <c r="J345" s="8" t="s">
        <v>17</v>
      </c>
      <c r="K345" s="8" t="s">
        <v>63</v>
      </c>
      <c r="L345" t="str">
        <f t="shared" si="20"/>
        <v>Unique</v>
      </c>
      <c r="M345" s="8" t="str">
        <f>IF(COUNTIF(Payments_Raw!$B:$B,A345)=0,"Unpaid",IF(N345&gt;=G345,"Paid",IF(N345&gt;0,"Partial Payment",IF(COUNTIFS(Payments_Raw!$B:$B,A345,Payments_Raw!$F:$F,"Failed")&gt;0,"Failed",IF(COUNTIFS(Payments_Raw!$B:$B,A345,Payments_Raw!$F:$F,"Pending")&gt;0,"Pending","Unpaid")))))</f>
        <v>Paid</v>
      </c>
      <c r="N345" s="8">
        <f>SUMIFS(Payments_Raw!$E:$E,Payments_Raw!$B:$B,A345,Payments_Raw!$F:$F,"Successful")</f>
        <v>4582.09</v>
      </c>
      <c r="O345" s="26">
        <f t="shared" si="21"/>
        <v>0</v>
      </c>
      <c r="P345" s="9" t="str">
        <f t="shared" si="22"/>
        <v>No Exception</v>
      </c>
      <c r="Q345" s="14" t="str">
        <f t="shared" si="23"/>
        <v>Not Overdue</v>
      </c>
      <c r="R345" s="14"/>
    </row>
    <row r="346" spans="1:18" x14ac:dyDescent="0.25">
      <c r="A346" s="18" t="s">
        <v>1073</v>
      </c>
      <c r="B346" s="8" t="s">
        <v>163</v>
      </c>
      <c r="C346" s="8" t="s">
        <v>1074</v>
      </c>
      <c r="D346" s="8" t="s">
        <v>1075</v>
      </c>
      <c r="E346" s="19">
        <v>46190</v>
      </c>
      <c r="F346" s="19">
        <v>46205</v>
      </c>
      <c r="G346" s="8">
        <v>2269.27</v>
      </c>
      <c r="H346" s="8" t="s">
        <v>15</v>
      </c>
      <c r="I346" s="8" t="s">
        <v>16</v>
      </c>
      <c r="J346" s="8" t="s">
        <v>17</v>
      </c>
      <c r="K346" s="8" t="s">
        <v>24</v>
      </c>
      <c r="L346" t="str">
        <f t="shared" si="20"/>
        <v>Unique</v>
      </c>
      <c r="M346" s="8" t="str">
        <f>IF(COUNTIF(Payments_Raw!$B:$B,A346)=0,"Unpaid",IF(N346&gt;=G346,"Paid",IF(N346&gt;0,"Partial Payment",IF(COUNTIFS(Payments_Raw!$B:$B,A346,Payments_Raw!$F:$F,"Failed")&gt;0,"Failed",IF(COUNTIFS(Payments_Raw!$B:$B,A346,Payments_Raw!$F:$F,"Pending")&gt;0,"Pending","Unpaid")))))</f>
        <v>Paid</v>
      </c>
      <c r="N346" s="8">
        <f>SUMIFS(Payments_Raw!$E:$E,Payments_Raw!$B:$B,A346,Payments_Raw!$F:$F,"Successful")</f>
        <v>2269.27</v>
      </c>
      <c r="O346" s="26">
        <f t="shared" si="21"/>
        <v>0</v>
      </c>
      <c r="P346" s="9" t="str">
        <f t="shared" si="22"/>
        <v>No Exception</v>
      </c>
      <c r="Q346" s="14" t="str">
        <f t="shared" si="23"/>
        <v>Not Overdue</v>
      </c>
      <c r="R346" s="14"/>
    </row>
    <row r="347" spans="1:18" x14ac:dyDescent="0.25">
      <c r="A347" s="18" t="s">
        <v>1076</v>
      </c>
      <c r="B347" s="8" t="s">
        <v>138</v>
      </c>
      <c r="C347" s="8" t="s">
        <v>1077</v>
      </c>
      <c r="D347" s="8" t="s">
        <v>1078</v>
      </c>
      <c r="E347" s="19">
        <v>46147</v>
      </c>
      <c r="F347" s="19">
        <v>46192</v>
      </c>
      <c r="G347" s="8">
        <v>11662.5</v>
      </c>
      <c r="H347" s="8" t="s">
        <v>15</v>
      </c>
      <c r="I347" s="8" t="s">
        <v>39</v>
      </c>
      <c r="J347" s="8" t="s">
        <v>17</v>
      </c>
      <c r="K347" s="8" t="s">
        <v>24</v>
      </c>
      <c r="L347" t="str">
        <f t="shared" si="20"/>
        <v>Duplicate</v>
      </c>
      <c r="M347" s="8" t="str">
        <f>IF(COUNTIF(Payments_Raw!$B:$B,A347)=0,"Unpaid",IF(N347&gt;=G347,"Paid",IF(N347&gt;0,"Partial Payment",IF(COUNTIFS(Payments_Raw!$B:$B,A347,Payments_Raw!$F:$F,"Failed")&gt;0,"Failed",IF(COUNTIFS(Payments_Raw!$B:$B,A347,Payments_Raw!$F:$F,"Pending")&gt;0,"Pending","Unpaid")))))</f>
        <v>Paid</v>
      </c>
      <c r="N347" s="8">
        <f>SUMIFS(Payments_Raw!$E:$E,Payments_Raw!$B:$B,A347,Payments_Raw!$F:$F,"Successful")</f>
        <v>12012.38</v>
      </c>
      <c r="O347" s="26">
        <f t="shared" si="21"/>
        <v>-349.8799999999992</v>
      </c>
      <c r="P347" s="9" t="str">
        <f t="shared" si="22"/>
        <v>Duplicate Invoice</v>
      </c>
      <c r="Q347" s="14" t="str">
        <f t="shared" si="23"/>
        <v>Not Overdue</v>
      </c>
      <c r="R347" s="14"/>
    </row>
    <row r="348" spans="1:18" x14ac:dyDescent="0.25">
      <c r="A348" s="18" t="s">
        <v>1079</v>
      </c>
      <c r="B348" s="8" t="s">
        <v>20</v>
      </c>
      <c r="C348" s="8" t="s">
        <v>1080</v>
      </c>
      <c r="D348" s="8" t="s">
        <v>1081</v>
      </c>
      <c r="E348" s="19">
        <v>46100</v>
      </c>
      <c r="F348" s="19">
        <v>46115</v>
      </c>
      <c r="G348" s="8">
        <v>278.68</v>
      </c>
      <c r="H348" s="8" t="s">
        <v>15</v>
      </c>
      <c r="I348" s="8" t="s">
        <v>16</v>
      </c>
      <c r="J348" s="8" t="s">
        <v>17</v>
      </c>
      <c r="K348" s="8" t="s">
        <v>18</v>
      </c>
      <c r="L348" t="str">
        <f t="shared" si="20"/>
        <v>Unique</v>
      </c>
      <c r="M348" s="8" t="str">
        <f>IF(COUNTIF(Payments_Raw!$B:$B,A348)=0,"Unpaid",IF(N348&gt;=G348,"Paid",IF(N348&gt;0,"Partial Payment",IF(COUNTIFS(Payments_Raw!$B:$B,A348,Payments_Raw!$F:$F,"Failed")&gt;0,"Failed",IF(COUNTIFS(Payments_Raw!$B:$B,A348,Payments_Raw!$F:$F,"Pending")&gt;0,"Pending","Unpaid")))))</f>
        <v>Paid</v>
      </c>
      <c r="N348" s="8">
        <f>SUMIFS(Payments_Raw!$E:$E,Payments_Raw!$B:$B,A348,Payments_Raw!$F:$F,"Successful")</f>
        <v>278.68</v>
      </c>
      <c r="O348" s="26">
        <f t="shared" si="21"/>
        <v>0</v>
      </c>
      <c r="P348" s="9" t="str">
        <f t="shared" si="22"/>
        <v>No Exception</v>
      </c>
      <c r="Q348" s="14" t="str">
        <f t="shared" si="23"/>
        <v>Not Overdue</v>
      </c>
      <c r="R348" s="14"/>
    </row>
    <row r="349" spans="1:18" x14ac:dyDescent="0.25">
      <c r="A349" s="18" t="s">
        <v>1082</v>
      </c>
      <c r="B349" s="8" t="s">
        <v>26</v>
      </c>
      <c r="C349" s="8" t="s">
        <v>1083</v>
      </c>
      <c r="D349" s="8" t="s">
        <v>1084</v>
      </c>
      <c r="E349" s="19">
        <v>46023</v>
      </c>
      <c r="F349" s="19">
        <v>46053</v>
      </c>
      <c r="G349" s="8">
        <v>19002.16</v>
      </c>
      <c r="H349" s="8" t="s">
        <v>15</v>
      </c>
      <c r="I349" s="8" t="s">
        <v>16</v>
      </c>
      <c r="J349" s="8" t="s">
        <v>17</v>
      </c>
      <c r="K349" s="8" t="s">
        <v>63</v>
      </c>
      <c r="L349" t="str">
        <f t="shared" si="20"/>
        <v>Unique</v>
      </c>
      <c r="M349" s="8" t="str">
        <f>IF(COUNTIF(Payments_Raw!$B:$B,A349)=0,"Unpaid",IF(N349&gt;=G349,"Paid",IF(N349&gt;0,"Partial Payment",IF(COUNTIFS(Payments_Raw!$B:$B,A349,Payments_Raw!$F:$F,"Failed")&gt;0,"Failed",IF(COUNTIFS(Payments_Raw!$B:$B,A349,Payments_Raw!$F:$F,"Pending")&gt;0,"Pending","Unpaid")))))</f>
        <v>Unpaid</v>
      </c>
      <c r="N349" s="8">
        <f>SUMIFS(Payments_Raw!$E:$E,Payments_Raw!$B:$B,A349,Payments_Raw!$F:$F,"Successful")</f>
        <v>0</v>
      </c>
      <c r="O349" s="26">
        <f t="shared" si="21"/>
        <v>19002.16</v>
      </c>
      <c r="P349" s="9" t="str">
        <f t="shared" si="22"/>
        <v>Unpaid Invoice</v>
      </c>
      <c r="Q349" s="14" t="str">
        <f t="shared" si="23"/>
        <v>Overdue</v>
      </c>
      <c r="R349" s="14"/>
    </row>
    <row r="350" spans="1:18" x14ac:dyDescent="0.25">
      <c r="A350" s="18" t="s">
        <v>1085</v>
      </c>
      <c r="B350" s="8" t="s">
        <v>75</v>
      </c>
      <c r="C350" s="8" t="s">
        <v>1086</v>
      </c>
      <c r="D350" s="8" t="s">
        <v>1087</v>
      </c>
      <c r="E350" s="19">
        <v>46053</v>
      </c>
      <c r="F350" s="19">
        <v>46068</v>
      </c>
      <c r="G350" s="8">
        <v>24317.27</v>
      </c>
      <c r="H350" s="8" t="s">
        <v>15</v>
      </c>
      <c r="I350" s="8" t="s">
        <v>29</v>
      </c>
      <c r="J350" s="8" t="s">
        <v>17</v>
      </c>
      <c r="K350" s="8" t="s">
        <v>24</v>
      </c>
      <c r="L350" t="str">
        <f t="shared" si="20"/>
        <v>Unique</v>
      </c>
      <c r="M350" s="8" t="str">
        <f>IF(COUNTIF(Payments_Raw!$B:$B,A350)=0,"Unpaid",IF(N350&gt;=G350,"Paid",IF(N350&gt;0,"Partial Payment",IF(COUNTIFS(Payments_Raw!$B:$B,A350,Payments_Raw!$F:$F,"Failed")&gt;0,"Failed",IF(COUNTIFS(Payments_Raw!$B:$B,A350,Payments_Raw!$F:$F,"Pending")&gt;0,"Pending","Unpaid")))))</f>
        <v>Pending</v>
      </c>
      <c r="N350" s="8">
        <f>SUMIFS(Payments_Raw!$E:$E,Payments_Raw!$B:$B,A350,Payments_Raw!$F:$F,"Successful")</f>
        <v>0</v>
      </c>
      <c r="O350" s="26">
        <f t="shared" si="21"/>
        <v>24317.27</v>
      </c>
      <c r="P350" s="9" t="str">
        <f t="shared" si="22"/>
        <v>Pending Payment</v>
      </c>
      <c r="Q350" s="14" t="str">
        <f t="shared" si="23"/>
        <v>Overdue</v>
      </c>
      <c r="R350" s="14"/>
    </row>
    <row r="351" spans="1:18" x14ac:dyDescent="0.25">
      <c r="A351" s="18" t="s">
        <v>1088</v>
      </c>
      <c r="B351" s="8" t="s">
        <v>85</v>
      </c>
      <c r="C351" s="8" t="s">
        <v>1089</v>
      </c>
      <c r="D351" s="8" t="s">
        <v>1090</v>
      </c>
      <c r="E351" s="19">
        <v>46213</v>
      </c>
      <c r="F351" s="19">
        <v>46258</v>
      </c>
      <c r="G351" s="8">
        <v>11526.44</v>
      </c>
      <c r="H351" s="8" t="s">
        <v>15</v>
      </c>
      <c r="I351" s="8" t="s">
        <v>16</v>
      </c>
      <c r="J351" s="8" t="s">
        <v>17</v>
      </c>
      <c r="K351" s="8" t="s">
        <v>63</v>
      </c>
      <c r="L351" t="str">
        <f t="shared" si="20"/>
        <v>Unique</v>
      </c>
      <c r="M351" s="8" t="str">
        <f>IF(COUNTIF(Payments_Raw!$B:$B,A351)=0,"Unpaid",IF(N351&gt;=G351,"Paid",IF(N351&gt;0,"Partial Payment",IF(COUNTIFS(Payments_Raw!$B:$B,A351,Payments_Raw!$F:$F,"Failed")&gt;0,"Failed",IF(COUNTIFS(Payments_Raw!$B:$B,A351,Payments_Raw!$F:$F,"Pending")&gt;0,"Pending","Unpaid")))))</f>
        <v>Pending</v>
      </c>
      <c r="N351" s="8">
        <f>SUMIFS(Payments_Raw!$E:$E,Payments_Raw!$B:$B,A351,Payments_Raw!$F:$F,"Successful")</f>
        <v>0</v>
      </c>
      <c r="O351" s="26">
        <f t="shared" si="21"/>
        <v>11526.44</v>
      </c>
      <c r="P351" s="9" t="str">
        <f t="shared" si="22"/>
        <v>Pending Payment</v>
      </c>
      <c r="Q351" s="14" t="str">
        <f t="shared" si="23"/>
        <v>Overdue</v>
      </c>
      <c r="R351" s="14"/>
    </row>
    <row r="352" spans="1:18" x14ac:dyDescent="0.25">
      <c r="A352" s="18" t="s">
        <v>1091</v>
      </c>
      <c r="B352" s="8" t="s">
        <v>102</v>
      </c>
      <c r="C352" s="8" t="s">
        <v>1092</v>
      </c>
      <c r="D352" s="8" t="s">
        <v>1093</v>
      </c>
      <c r="E352" s="19">
        <v>46054</v>
      </c>
      <c r="F352" s="19">
        <v>46099</v>
      </c>
      <c r="G352" s="8">
        <v>10942.37</v>
      </c>
      <c r="H352" s="8" t="s">
        <v>15</v>
      </c>
      <c r="I352" s="8" t="s">
        <v>16</v>
      </c>
      <c r="J352" s="8" t="s">
        <v>17</v>
      </c>
      <c r="K352" s="8" t="s">
        <v>63</v>
      </c>
      <c r="L352" t="str">
        <f t="shared" si="20"/>
        <v>Unique</v>
      </c>
      <c r="M352" s="8" t="str">
        <f>IF(COUNTIF(Payments_Raw!$B:$B,A352)=0,"Unpaid",IF(N352&gt;=G352,"Paid",IF(N352&gt;0,"Partial Payment",IF(COUNTIFS(Payments_Raw!$B:$B,A352,Payments_Raw!$F:$F,"Failed")&gt;0,"Failed",IF(COUNTIFS(Payments_Raw!$B:$B,A352,Payments_Raw!$F:$F,"Pending")&gt;0,"Pending","Unpaid")))))</f>
        <v>Unpaid</v>
      </c>
      <c r="N352" s="8">
        <f>SUMIFS(Payments_Raw!$E:$E,Payments_Raw!$B:$B,A352,Payments_Raw!$F:$F,"Successful")</f>
        <v>0</v>
      </c>
      <c r="O352" s="26">
        <f t="shared" si="21"/>
        <v>10942.37</v>
      </c>
      <c r="P352" s="9" t="str">
        <f t="shared" si="22"/>
        <v>Unpaid Invoice</v>
      </c>
      <c r="Q352" s="14" t="str">
        <f t="shared" si="23"/>
        <v>Overdue</v>
      </c>
      <c r="R352" s="14"/>
    </row>
    <row r="353" spans="1:18" x14ac:dyDescent="0.25">
      <c r="A353" s="18" t="s">
        <v>1094</v>
      </c>
      <c r="B353" s="8" t="s">
        <v>26</v>
      </c>
      <c r="C353" s="8" t="s">
        <v>1095</v>
      </c>
      <c r="D353" s="8" t="s">
        <v>1096</v>
      </c>
      <c r="E353" s="19">
        <v>46185</v>
      </c>
      <c r="F353" s="19">
        <v>46215</v>
      </c>
      <c r="G353" s="8">
        <v>11384.62</v>
      </c>
      <c r="H353" s="8" t="s">
        <v>15</v>
      </c>
      <c r="I353" s="8" t="s">
        <v>39</v>
      </c>
      <c r="J353" s="8" t="s">
        <v>17</v>
      </c>
      <c r="K353" s="8" t="s">
        <v>18</v>
      </c>
      <c r="L353" t="str">
        <f t="shared" si="20"/>
        <v>Unique</v>
      </c>
      <c r="M353" s="8" t="str">
        <f>IF(COUNTIF(Payments_Raw!$B:$B,A353)=0,"Unpaid",IF(N353&gt;=G353,"Paid",IF(N353&gt;0,"Partial Payment",IF(COUNTIFS(Payments_Raw!$B:$B,A353,Payments_Raw!$F:$F,"Failed")&gt;0,"Failed",IF(COUNTIFS(Payments_Raw!$B:$B,A353,Payments_Raw!$F:$F,"Pending")&gt;0,"Pending","Unpaid")))))</f>
        <v>Paid</v>
      </c>
      <c r="N353" s="8">
        <f>SUMIFS(Payments_Raw!$E:$E,Payments_Raw!$B:$B,A353,Payments_Raw!$F:$F,"Successful")</f>
        <v>11726.16</v>
      </c>
      <c r="O353" s="26">
        <f t="shared" si="21"/>
        <v>-341.53999999999905</v>
      </c>
      <c r="P353" s="9" t="str">
        <f t="shared" si="22"/>
        <v>No Exception</v>
      </c>
      <c r="Q353" s="14" t="str">
        <f t="shared" si="23"/>
        <v>Not Overdue</v>
      </c>
      <c r="R353" s="14"/>
    </row>
    <row r="354" spans="1:18" x14ac:dyDescent="0.25">
      <c r="A354" s="18" t="s">
        <v>1097</v>
      </c>
      <c r="B354" s="8" t="s">
        <v>45</v>
      </c>
      <c r="C354" s="8" t="s">
        <v>1098</v>
      </c>
      <c r="D354" s="8" t="s">
        <v>1099</v>
      </c>
      <c r="E354" s="19">
        <v>46107</v>
      </c>
      <c r="F354" s="19">
        <v>46137</v>
      </c>
      <c r="G354" s="8">
        <v>11305.22</v>
      </c>
      <c r="H354" s="8" t="s">
        <v>15</v>
      </c>
      <c r="I354" s="8" t="s">
        <v>16</v>
      </c>
      <c r="J354" s="8" t="s">
        <v>17</v>
      </c>
      <c r="K354" s="8" t="s">
        <v>63</v>
      </c>
      <c r="L354" t="str">
        <f t="shared" si="20"/>
        <v>Unique</v>
      </c>
      <c r="M354" s="8" t="str">
        <f>IF(COUNTIF(Payments_Raw!$B:$B,A354)=0,"Unpaid",IF(N354&gt;=G354,"Paid",IF(N354&gt;0,"Partial Payment",IF(COUNTIFS(Payments_Raw!$B:$B,A354,Payments_Raw!$F:$F,"Failed")&gt;0,"Failed",IF(COUNTIFS(Payments_Raw!$B:$B,A354,Payments_Raw!$F:$F,"Pending")&gt;0,"Pending","Unpaid")))))</f>
        <v>Paid</v>
      </c>
      <c r="N354" s="8">
        <f>SUMIFS(Payments_Raw!$E:$E,Payments_Raw!$B:$B,A354,Payments_Raw!$F:$F,"Successful")</f>
        <v>11305.22</v>
      </c>
      <c r="O354" s="26">
        <f t="shared" si="21"/>
        <v>0</v>
      </c>
      <c r="P354" s="9" t="str">
        <f t="shared" si="22"/>
        <v>No Exception</v>
      </c>
      <c r="Q354" s="14" t="str">
        <f t="shared" si="23"/>
        <v>Not Overdue</v>
      </c>
      <c r="R354" s="14"/>
    </row>
    <row r="355" spans="1:18" x14ac:dyDescent="0.25">
      <c r="A355" s="18" t="s">
        <v>1100</v>
      </c>
      <c r="B355" s="8" t="s">
        <v>163</v>
      </c>
      <c r="C355" s="8" t="s">
        <v>1101</v>
      </c>
      <c r="D355" s="8" t="s">
        <v>1102</v>
      </c>
      <c r="E355" s="19">
        <v>46260</v>
      </c>
      <c r="F355" s="19">
        <v>46275</v>
      </c>
      <c r="G355" s="8">
        <v>6713.4</v>
      </c>
      <c r="H355" s="8" t="s">
        <v>15</v>
      </c>
      <c r="I355" s="8" t="s">
        <v>39</v>
      </c>
      <c r="J355" s="8" t="s">
        <v>17</v>
      </c>
      <c r="K355" s="8" t="s">
        <v>24</v>
      </c>
      <c r="L355" t="str">
        <f t="shared" si="20"/>
        <v>Unique</v>
      </c>
      <c r="M355" s="8" t="str">
        <f>IF(COUNTIF(Payments_Raw!$B:$B,A355)=0,"Unpaid",IF(N355&gt;=G355,"Paid",IF(N355&gt;0,"Partial Payment",IF(COUNTIFS(Payments_Raw!$B:$B,A355,Payments_Raw!$F:$F,"Failed")&gt;0,"Failed",IF(COUNTIFS(Payments_Raw!$B:$B,A355,Payments_Raw!$F:$F,"Pending")&gt;0,"Pending","Unpaid")))))</f>
        <v>Paid</v>
      </c>
      <c r="N355" s="8">
        <f>SUMIFS(Payments_Raw!$E:$E,Payments_Raw!$B:$B,A355,Payments_Raw!$F:$F,"Successful")</f>
        <v>6713.4</v>
      </c>
      <c r="O355" s="26">
        <f t="shared" si="21"/>
        <v>0</v>
      </c>
      <c r="P355" s="9" t="str">
        <f t="shared" si="22"/>
        <v>No Exception</v>
      </c>
      <c r="Q355" s="14" t="str">
        <f t="shared" si="23"/>
        <v>Not Overdue</v>
      </c>
      <c r="R355" s="14"/>
    </row>
    <row r="356" spans="1:18" x14ac:dyDescent="0.25">
      <c r="A356" s="18" t="s">
        <v>1103</v>
      </c>
      <c r="B356" s="8" t="s">
        <v>138</v>
      </c>
      <c r="C356" s="8" t="s">
        <v>1104</v>
      </c>
      <c r="D356" s="8" t="s">
        <v>1105</v>
      </c>
      <c r="E356" s="19">
        <v>46043</v>
      </c>
      <c r="F356" s="19">
        <v>46088</v>
      </c>
      <c r="G356" s="8">
        <v>5469.72</v>
      </c>
      <c r="H356" s="8" t="s">
        <v>15</v>
      </c>
      <c r="I356" s="8" t="s">
        <v>39</v>
      </c>
      <c r="J356" s="8" t="s">
        <v>17</v>
      </c>
      <c r="K356" s="8" t="s">
        <v>63</v>
      </c>
      <c r="L356" t="str">
        <f t="shared" si="20"/>
        <v>Unique</v>
      </c>
      <c r="M356" s="8" t="str">
        <f>IF(COUNTIF(Payments_Raw!$B:$B,A356)=0,"Unpaid",IF(N356&gt;=G356,"Paid",IF(N356&gt;0,"Partial Payment",IF(COUNTIFS(Payments_Raw!$B:$B,A356,Payments_Raw!$F:$F,"Failed")&gt;0,"Failed",IF(COUNTIFS(Payments_Raw!$B:$B,A356,Payments_Raw!$F:$F,"Pending")&gt;0,"Pending","Unpaid")))))</f>
        <v>Paid</v>
      </c>
      <c r="N356" s="8">
        <f>SUMIFS(Payments_Raw!$E:$E,Payments_Raw!$B:$B,A356,Payments_Raw!$F:$F,"Successful")</f>
        <v>5469.72</v>
      </c>
      <c r="O356" s="26">
        <f t="shared" si="21"/>
        <v>0</v>
      </c>
      <c r="P356" s="9" t="str">
        <f t="shared" si="22"/>
        <v>No Exception</v>
      </c>
      <c r="Q356" s="14" t="str">
        <f t="shared" si="23"/>
        <v>Not Overdue</v>
      </c>
      <c r="R356" s="14"/>
    </row>
    <row r="357" spans="1:18" x14ac:dyDescent="0.25">
      <c r="A357" s="18" t="s">
        <v>1106</v>
      </c>
      <c r="B357" s="8" t="s">
        <v>36</v>
      </c>
      <c r="C357" s="8" t="s">
        <v>1107</v>
      </c>
      <c r="D357" s="8" t="s">
        <v>1108</v>
      </c>
      <c r="E357" s="19">
        <v>46048</v>
      </c>
      <c r="F357" s="19">
        <v>46078</v>
      </c>
      <c r="G357" s="8">
        <v>16968.32</v>
      </c>
      <c r="H357" s="8" t="s">
        <v>15</v>
      </c>
      <c r="I357" s="8" t="s">
        <v>23</v>
      </c>
      <c r="J357" s="8" t="s">
        <v>17</v>
      </c>
      <c r="K357" s="8" t="s">
        <v>24</v>
      </c>
      <c r="L357" t="str">
        <f t="shared" si="20"/>
        <v>Unique</v>
      </c>
      <c r="M357" s="8" t="str">
        <f>IF(COUNTIF(Payments_Raw!$B:$B,A357)=0,"Unpaid",IF(N357&gt;=G357,"Paid",IF(N357&gt;0,"Partial Payment",IF(COUNTIFS(Payments_Raw!$B:$B,A357,Payments_Raw!$F:$F,"Failed")&gt;0,"Failed",IF(COUNTIFS(Payments_Raw!$B:$B,A357,Payments_Raw!$F:$F,"Pending")&gt;0,"Pending","Unpaid")))))</f>
        <v>Failed</v>
      </c>
      <c r="N357" s="8">
        <f>SUMIFS(Payments_Raw!$E:$E,Payments_Raw!$B:$B,A357,Payments_Raw!$F:$F,"Successful")</f>
        <v>0</v>
      </c>
      <c r="O357" s="26">
        <f t="shared" si="21"/>
        <v>16968.32</v>
      </c>
      <c r="P357" s="9" t="str">
        <f t="shared" si="22"/>
        <v>Failed Payment</v>
      </c>
      <c r="Q357" s="14" t="str">
        <f t="shared" si="23"/>
        <v>Overdue</v>
      </c>
      <c r="R357" s="14"/>
    </row>
    <row r="358" spans="1:18" x14ac:dyDescent="0.25">
      <c r="A358" s="18" t="s">
        <v>1109</v>
      </c>
      <c r="B358" s="8" t="s">
        <v>32</v>
      </c>
      <c r="C358" s="8" t="s">
        <v>1110</v>
      </c>
      <c r="D358" s="8" t="s">
        <v>1111</v>
      </c>
      <c r="E358" s="19">
        <v>46150</v>
      </c>
      <c r="F358" s="19">
        <v>46180</v>
      </c>
      <c r="G358" s="8">
        <v>2476.7600000000002</v>
      </c>
      <c r="H358" s="8" t="s">
        <v>15</v>
      </c>
      <c r="I358" s="8" t="s">
        <v>29</v>
      </c>
      <c r="J358" s="8" t="s">
        <v>17</v>
      </c>
      <c r="K358" s="8" t="s">
        <v>18</v>
      </c>
      <c r="L358" t="str">
        <f t="shared" si="20"/>
        <v>Unique</v>
      </c>
      <c r="M358" s="8" t="str">
        <f>IF(COUNTIF(Payments_Raw!$B:$B,A358)=0,"Unpaid",IF(N358&gt;=G358,"Paid",IF(N358&gt;0,"Partial Payment",IF(COUNTIFS(Payments_Raw!$B:$B,A358,Payments_Raw!$F:$F,"Failed")&gt;0,"Failed",IF(COUNTIFS(Payments_Raw!$B:$B,A358,Payments_Raw!$F:$F,"Pending")&gt;0,"Pending","Unpaid")))))</f>
        <v>Unpaid</v>
      </c>
      <c r="N358" s="8">
        <f>SUMIFS(Payments_Raw!$E:$E,Payments_Raw!$B:$B,A358,Payments_Raw!$F:$F,"Successful")</f>
        <v>0</v>
      </c>
      <c r="O358" s="26">
        <f t="shared" si="21"/>
        <v>2476.7600000000002</v>
      </c>
      <c r="P358" s="9" t="str">
        <f t="shared" si="22"/>
        <v>Unpaid Invoice</v>
      </c>
      <c r="Q358" s="14" t="str">
        <f t="shared" si="23"/>
        <v>Overdue</v>
      </c>
      <c r="R358" s="14"/>
    </row>
    <row r="359" spans="1:18" x14ac:dyDescent="0.25">
      <c r="A359" s="18" t="s">
        <v>1112</v>
      </c>
      <c r="B359" s="8" t="s">
        <v>122</v>
      </c>
      <c r="C359" s="8" t="s">
        <v>1113</v>
      </c>
      <c r="D359" s="8" t="s">
        <v>1114</v>
      </c>
      <c r="E359" s="19">
        <v>46124</v>
      </c>
      <c r="F359" s="19">
        <v>46139</v>
      </c>
      <c r="G359" s="8">
        <v>20612.990000000002</v>
      </c>
      <c r="H359" s="8" t="s">
        <v>15</v>
      </c>
      <c r="I359" s="8" t="s">
        <v>29</v>
      </c>
      <c r="J359" s="8" t="s">
        <v>17</v>
      </c>
      <c r="K359" s="8" t="s">
        <v>18</v>
      </c>
      <c r="L359" t="str">
        <f t="shared" si="20"/>
        <v>Unique</v>
      </c>
      <c r="M359" s="8" t="str">
        <f>IF(COUNTIF(Payments_Raw!$B:$B,A359)=0,"Unpaid",IF(N359&gt;=G359,"Paid",IF(N359&gt;0,"Partial Payment",IF(COUNTIFS(Payments_Raw!$B:$B,A359,Payments_Raw!$F:$F,"Failed")&gt;0,"Failed",IF(COUNTIFS(Payments_Raw!$B:$B,A359,Payments_Raw!$F:$F,"Pending")&gt;0,"Pending","Unpaid")))))</f>
        <v>Unpaid</v>
      </c>
      <c r="N359" s="8">
        <f>SUMIFS(Payments_Raw!$E:$E,Payments_Raw!$B:$B,A359,Payments_Raw!$F:$F,"Successful")</f>
        <v>0</v>
      </c>
      <c r="O359" s="26">
        <f t="shared" si="21"/>
        <v>20612.990000000002</v>
      </c>
      <c r="P359" s="9" t="str">
        <f t="shared" si="22"/>
        <v>Unpaid Invoice</v>
      </c>
      <c r="Q359" s="14" t="str">
        <f t="shared" si="23"/>
        <v>Overdue</v>
      </c>
      <c r="R359" s="14"/>
    </row>
    <row r="360" spans="1:18" x14ac:dyDescent="0.25">
      <c r="A360" s="18" t="s">
        <v>1115</v>
      </c>
      <c r="B360" s="8" t="s">
        <v>71</v>
      </c>
      <c r="C360" s="8" t="s">
        <v>1116</v>
      </c>
      <c r="D360" s="8" t="s">
        <v>1117</v>
      </c>
      <c r="E360" s="19">
        <v>46056</v>
      </c>
      <c r="F360" s="19">
        <v>46071</v>
      </c>
      <c r="G360" s="8">
        <v>5040.03</v>
      </c>
      <c r="H360" s="8" t="s">
        <v>15</v>
      </c>
      <c r="I360" s="8" t="s">
        <v>23</v>
      </c>
      <c r="J360" s="8" t="s">
        <v>17</v>
      </c>
      <c r="K360" s="8" t="s">
        <v>63</v>
      </c>
      <c r="L360" t="str">
        <f t="shared" si="20"/>
        <v>Unique</v>
      </c>
      <c r="M360" s="8" t="str">
        <f>IF(COUNTIF(Payments_Raw!$B:$B,A360)=0,"Unpaid",IF(N360&gt;=G360,"Paid",IF(N360&gt;0,"Partial Payment",IF(COUNTIFS(Payments_Raw!$B:$B,A360,Payments_Raw!$F:$F,"Failed")&gt;0,"Failed",IF(COUNTIFS(Payments_Raw!$B:$B,A360,Payments_Raw!$F:$F,"Pending")&gt;0,"Pending","Unpaid")))))</f>
        <v>Paid</v>
      </c>
      <c r="N360" s="8">
        <f>SUMIFS(Payments_Raw!$E:$E,Payments_Raw!$B:$B,A360,Payments_Raw!$F:$F,"Successful")</f>
        <v>5040.03</v>
      </c>
      <c r="O360" s="26">
        <f t="shared" si="21"/>
        <v>0</v>
      </c>
      <c r="P360" s="9" t="str">
        <f t="shared" si="22"/>
        <v>No Exception</v>
      </c>
      <c r="Q360" s="14" t="str">
        <f t="shared" si="23"/>
        <v>Not Overdue</v>
      </c>
      <c r="R360" s="14"/>
    </row>
    <row r="361" spans="1:18" x14ac:dyDescent="0.25">
      <c r="A361" s="18" t="s">
        <v>1118</v>
      </c>
      <c r="B361" s="8" t="s">
        <v>45</v>
      </c>
      <c r="C361" s="8" t="s">
        <v>1119</v>
      </c>
      <c r="D361" s="8" t="s">
        <v>1120</v>
      </c>
      <c r="E361" s="19">
        <v>46044</v>
      </c>
      <c r="F361" s="19">
        <v>46074</v>
      </c>
      <c r="G361" s="8">
        <v>57344.61</v>
      </c>
      <c r="H361" s="8" t="s">
        <v>15</v>
      </c>
      <c r="I361" s="8" t="s">
        <v>39</v>
      </c>
      <c r="J361" s="8" t="s">
        <v>17</v>
      </c>
      <c r="K361" s="8" t="s">
        <v>63</v>
      </c>
      <c r="L361" t="str">
        <f t="shared" si="20"/>
        <v>Unique</v>
      </c>
      <c r="M361" s="8" t="str">
        <f>IF(COUNTIF(Payments_Raw!$B:$B,A361)=0,"Unpaid",IF(N361&gt;=G361,"Paid",IF(N361&gt;0,"Partial Payment",IF(COUNTIFS(Payments_Raw!$B:$B,A361,Payments_Raw!$F:$F,"Failed")&gt;0,"Failed",IF(COUNTIFS(Payments_Raw!$B:$B,A361,Payments_Raw!$F:$F,"Pending")&gt;0,"Pending","Unpaid")))))</f>
        <v>Paid</v>
      </c>
      <c r="N361" s="8">
        <f>SUMIFS(Payments_Raw!$E:$E,Payments_Raw!$B:$B,A361,Payments_Raw!$F:$F,"Successful")</f>
        <v>59064.95</v>
      </c>
      <c r="O361" s="26">
        <f t="shared" si="21"/>
        <v>-1720.3399999999965</v>
      </c>
      <c r="P361" s="9" t="str">
        <f t="shared" si="22"/>
        <v>No Exception</v>
      </c>
      <c r="Q361" s="14" t="str">
        <f t="shared" si="23"/>
        <v>Not Overdue</v>
      </c>
      <c r="R361" s="14"/>
    </row>
    <row r="362" spans="1:18" x14ac:dyDescent="0.25">
      <c r="A362" s="18" t="s">
        <v>1121</v>
      </c>
      <c r="B362" s="8" t="s">
        <v>85</v>
      </c>
      <c r="C362" s="8" t="s">
        <v>1122</v>
      </c>
      <c r="D362" s="8" t="s">
        <v>1123</v>
      </c>
      <c r="E362" s="19">
        <v>46111</v>
      </c>
      <c r="F362" s="19">
        <v>46156</v>
      </c>
      <c r="G362" s="8">
        <v>8926.11</v>
      </c>
      <c r="H362" s="8" t="s">
        <v>15</v>
      </c>
      <c r="I362" s="8" t="s">
        <v>16</v>
      </c>
      <c r="J362" s="8" t="s">
        <v>17</v>
      </c>
      <c r="K362" s="8" t="s">
        <v>24</v>
      </c>
      <c r="L362" t="str">
        <f t="shared" si="20"/>
        <v>Unique</v>
      </c>
      <c r="M362" s="8" t="str">
        <f>IF(COUNTIF(Payments_Raw!$B:$B,A362)=0,"Unpaid",IF(N362&gt;=G362,"Paid",IF(N362&gt;0,"Partial Payment",IF(COUNTIFS(Payments_Raw!$B:$B,A362,Payments_Raw!$F:$F,"Failed")&gt;0,"Failed",IF(COUNTIFS(Payments_Raw!$B:$B,A362,Payments_Raw!$F:$F,"Pending")&gt;0,"Pending","Unpaid")))))</f>
        <v>Paid</v>
      </c>
      <c r="N362" s="8">
        <f>SUMIFS(Payments_Raw!$E:$E,Payments_Raw!$B:$B,A362,Payments_Raw!$F:$F,"Successful")</f>
        <v>8926.11</v>
      </c>
      <c r="O362" s="26">
        <f t="shared" si="21"/>
        <v>0</v>
      </c>
      <c r="P362" s="9" t="str">
        <f t="shared" si="22"/>
        <v>No Exception</v>
      </c>
      <c r="Q362" s="14" t="str">
        <f t="shared" si="23"/>
        <v>Not Overdue</v>
      </c>
      <c r="R362" s="14"/>
    </row>
    <row r="363" spans="1:18" x14ac:dyDescent="0.25">
      <c r="A363" s="18" t="s">
        <v>1124</v>
      </c>
      <c r="B363" s="8" t="s">
        <v>138</v>
      </c>
      <c r="C363" s="8" t="s">
        <v>1125</v>
      </c>
      <c r="D363" s="8" t="s">
        <v>1126</v>
      </c>
      <c r="E363" s="19">
        <v>46148</v>
      </c>
      <c r="F363" s="19">
        <v>46193</v>
      </c>
      <c r="G363" s="8">
        <v>16224.29</v>
      </c>
      <c r="H363" s="8" t="s">
        <v>15</v>
      </c>
      <c r="I363" s="8" t="s">
        <v>29</v>
      </c>
      <c r="J363" s="8" t="s">
        <v>17</v>
      </c>
      <c r="K363" s="8" t="s">
        <v>18</v>
      </c>
      <c r="L363" t="str">
        <f t="shared" si="20"/>
        <v>Unique</v>
      </c>
      <c r="M363" s="8" t="str">
        <f>IF(COUNTIF(Payments_Raw!$B:$B,A363)=0,"Unpaid",IF(N363&gt;=G363,"Paid",IF(N363&gt;0,"Partial Payment",IF(COUNTIFS(Payments_Raw!$B:$B,A363,Payments_Raw!$F:$F,"Failed")&gt;0,"Failed",IF(COUNTIFS(Payments_Raw!$B:$B,A363,Payments_Raw!$F:$F,"Pending")&gt;0,"Pending","Unpaid")))))</f>
        <v>Paid</v>
      </c>
      <c r="N363" s="8">
        <f>SUMIFS(Payments_Raw!$E:$E,Payments_Raw!$B:$B,A363,Payments_Raw!$F:$F,"Successful")</f>
        <v>16224.29</v>
      </c>
      <c r="O363" s="26">
        <f t="shared" si="21"/>
        <v>0</v>
      </c>
      <c r="P363" s="9" t="str">
        <f t="shared" si="22"/>
        <v>No Exception</v>
      </c>
      <c r="Q363" s="14" t="str">
        <f t="shared" si="23"/>
        <v>Not Overdue</v>
      </c>
      <c r="R363" s="14"/>
    </row>
    <row r="364" spans="1:18" x14ac:dyDescent="0.25">
      <c r="A364" s="18" t="s">
        <v>1127</v>
      </c>
      <c r="B364" s="8" t="s">
        <v>85</v>
      </c>
      <c r="C364" s="8" t="s">
        <v>1128</v>
      </c>
      <c r="D364" s="8" t="s">
        <v>1129</v>
      </c>
      <c r="E364" s="19">
        <v>46125</v>
      </c>
      <c r="F364" s="19">
        <v>46170</v>
      </c>
      <c r="G364" s="8">
        <v>16109.19</v>
      </c>
      <c r="H364" s="8" t="s">
        <v>15</v>
      </c>
      <c r="I364" s="8" t="s">
        <v>23</v>
      </c>
      <c r="J364" s="8" t="s">
        <v>17</v>
      </c>
      <c r="K364" s="8" t="s">
        <v>18</v>
      </c>
      <c r="L364" t="str">
        <f t="shared" si="20"/>
        <v>Unique</v>
      </c>
      <c r="M364" s="8" t="str">
        <f>IF(COUNTIF(Payments_Raw!$B:$B,A364)=0,"Unpaid",IF(N364&gt;=G364,"Paid",IF(N364&gt;0,"Partial Payment",IF(COUNTIFS(Payments_Raw!$B:$B,A364,Payments_Raw!$F:$F,"Failed")&gt;0,"Failed",IF(COUNTIFS(Payments_Raw!$B:$B,A364,Payments_Raw!$F:$F,"Pending")&gt;0,"Pending","Unpaid")))))</f>
        <v>Paid</v>
      </c>
      <c r="N364" s="8">
        <f>SUMIFS(Payments_Raw!$E:$E,Payments_Raw!$B:$B,A364,Payments_Raw!$F:$F,"Successful")</f>
        <v>16109.19</v>
      </c>
      <c r="O364" s="26">
        <f t="shared" si="21"/>
        <v>0</v>
      </c>
      <c r="P364" s="9" t="str">
        <f t="shared" si="22"/>
        <v>No Exception</v>
      </c>
      <c r="Q364" s="14" t="str">
        <f t="shared" si="23"/>
        <v>Not Overdue</v>
      </c>
      <c r="R364" s="14"/>
    </row>
    <row r="365" spans="1:18" x14ac:dyDescent="0.25">
      <c r="A365" s="18" t="s">
        <v>1130</v>
      </c>
      <c r="B365" s="8" t="s">
        <v>41</v>
      </c>
      <c r="C365" s="8" t="s">
        <v>1131</v>
      </c>
      <c r="D365" s="8" t="s">
        <v>1132</v>
      </c>
      <c r="E365" s="19">
        <v>46206</v>
      </c>
      <c r="F365" s="19">
        <v>46221</v>
      </c>
      <c r="G365" s="8">
        <v>12054.55</v>
      </c>
      <c r="H365" s="8" t="s">
        <v>15</v>
      </c>
      <c r="I365" s="8" t="s">
        <v>16</v>
      </c>
      <c r="J365" s="8" t="s">
        <v>17</v>
      </c>
      <c r="K365" s="8" t="s">
        <v>18</v>
      </c>
      <c r="L365" t="str">
        <f t="shared" si="20"/>
        <v>Unique</v>
      </c>
      <c r="M365" s="8" t="str">
        <f>IF(COUNTIF(Payments_Raw!$B:$B,A365)=0,"Unpaid",IF(N365&gt;=G365,"Paid",IF(N365&gt;0,"Partial Payment",IF(COUNTIFS(Payments_Raw!$B:$B,A365,Payments_Raw!$F:$F,"Failed")&gt;0,"Failed",IF(COUNTIFS(Payments_Raw!$B:$B,A365,Payments_Raw!$F:$F,"Pending")&gt;0,"Pending","Unpaid")))))</f>
        <v>Unpaid</v>
      </c>
      <c r="N365" s="8">
        <f>SUMIFS(Payments_Raw!$E:$E,Payments_Raw!$B:$B,A365,Payments_Raw!$F:$F,"Successful")</f>
        <v>0</v>
      </c>
      <c r="O365" s="26">
        <f t="shared" si="21"/>
        <v>12054.55</v>
      </c>
      <c r="P365" s="9" t="str">
        <f t="shared" si="22"/>
        <v>Unpaid Invoice</v>
      </c>
      <c r="Q365" s="14" t="str">
        <f t="shared" si="23"/>
        <v>Overdue</v>
      </c>
      <c r="R365" s="14"/>
    </row>
    <row r="366" spans="1:18" x14ac:dyDescent="0.25">
      <c r="A366" s="18" t="s">
        <v>1133</v>
      </c>
      <c r="B366" s="8" t="s">
        <v>71</v>
      </c>
      <c r="C366" s="8" t="s">
        <v>1134</v>
      </c>
      <c r="D366" s="8" t="s">
        <v>1135</v>
      </c>
      <c r="E366" s="19">
        <v>46186</v>
      </c>
      <c r="F366" s="19">
        <v>46201</v>
      </c>
      <c r="G366" s="8">
        <v>53374.13</v>
      </c>
      <c r="H366" s="8" t="s">
        <v>15</v>
      </c>
      <c r="I366" s="8" t="s">
        <v>39</v>
      </c>
      <c r="J366" s="8" t="s">
        <v>17</v>
      </c>
      <c r="K366" s="8" t="s">
        <v>63</v>
      </c>
      <c r="L366" t="str">
        <f t="shared" si="20"/>
        <v>Unique</v>
      </c>
      <c r="M366" s="8" t="str">
        <f>IF(COUNTIF(Payments_Raw!$B:$B,A366)=0,"Unpaid",IF(N366&gt;=G366,"Paid",IF(N366&gt;0,"Partial Payment",IF(COUNTIFS(Payments_Raw!$B:$B,A366,Payments_Raw!$F:$F,"Failed")&gt;0,"Failed",IF(COUNTIFS(Payments_Raw!$B:$B,A366,Payments_Raw!$F:$F,"Pending")&gt;0,"Pending","Unpaid")))))</f>
        <v>Pending</v>
      </c>
      <c r="N366" s="8">
        <f>SUMIFS(Payments_Raw!$E:$E,Payments_Raw!$B:$B,A366,Payments_Raw!$F:$F,"Successful")</f>
        <v>0</v>
      </c>
      <c r="O366" s="26">
        <f t="shared" si="21"/>
        <v>53374.13</v>
      </c>
      <c r="P366" s="9" t="str">
        <f t="shared" si="22"/>
        <v>Pending Payment</v>
      </c>
      <c r="Q366" s="14" t="str">
        <f t="shared" si="23"/>
        <v>Not Overdue</v>
      </c>
      <c r="R366" s="14"/>
    </row>
    <row r="367" spans="1:18" x14ac:dyDescent="0.25">
      <c r="A367" s="18" t="s">
        <v>1136</v>
      </c>
      <c r="B367" s="8" t="s">
        <v>170</v>
      </c>
      <c r="C367" s="8" t="s">
        <v>1137</v>
      </c>
      <c r="D367" s="8" t="s">
        <v>1138</v>
      </c>
      <c r="E367" s="19">
        <v>46142</v>
      </c>
      <c r="F367" s="19">
        <v>46172</v>
      </c>
      <c r="G367" s="8">
        <v>24352.62</v>
      </c>
      <c r="H367" s="8" t="s">
        <v>15</v>
      </c>
      <c r="I367" s="8" t="s">
        <v>16</v>
      </c>
      <c r="J367" s="8" t="s">
        <v>17</v>
      </c>
      <c r="K367" s="8" t="s">
        <v>24</v>
      </c>
      <c r="L367" t="str">
        <f t="shared" si="20"/>
        <v>Unique</v>
      </c>
      <c r="M367" s="8" t="str">
        <f>IF(COUNTIF(Payments_Raw!$B:$B,A367)=0,"Unpaid",IF(N367&gt;=G367,"Paid",IF(N367&gt;0,"Partial Payment",IF(COUNTIFS(Payments_Raw!$B:$B,A367,Payments_Raw!$F:$F,"Failed")&gt;0,"Failed",IF(COUNTIFS(Payments_Raw!$B:$B,A367,Payments_Raw!$F:$F,"Pending")&gt;0,"Pending","Unpaid")))))</f>
        <v>Paid</v>
      </c>
      <c r="N367" s="8">
        <f>SUMIFS(Payments_Raw!$E:$E,Payments_Raw!$B:$B,A367,Payments_Raw!$F:$F,"Successful")</f>
        <v>24352.62</v>
      </c>
      <c r="O367" s="26">
        <f t="shared" si="21"/>
        <v>0</v>
      </c>
      <c r="P367" s="9" t="str">
        <f t="shared" si="22"/>
        <v>No Exception</v>
      </c>
      <c r="Q367" s="14" t="str">
        <f t="shared" si="23"/>
        <v>Not Overdue</v>
      </c>
      <c r="R367" s="14"/>
    </row>
    <row r="368" spans="1:18" x14ac:dyDescent="0.25">
      <c r="A368" s="18" t="s">
        <v>1139</v>
      </c>
      <c r="B368" s="8" t="s">
        <v>89</v>
      </c>
      <c r="C368" s="8" t="s">
        <v>1140</v>
      </c>
      <c r="D368" s="8" t="s">
        <v>1141</v>
      </c>
      <c r="E368" s="19">
        <v>46135</v>
      </c>
      <c r="F368" s="19">
        <v>46150</v>
      </c>
      <c r="G368" s="8">
        <v>14443.22</v>
      </c>
      <c r="H368" s="8" t="s">
        <v>15</v>
      </c>
      <c r="I368" s="8" t="s">
        <v>23</v>
      </c>
      <c r="J368" s="8" t="s">
        <v>17</v>
      </c>
      <c r="K368" s="8" t="s">
        <v>18</v>
      </c>
      <c r="L368" t="str">
        <f t="shared" si="20"/>
        <v>Unique</v>
      </c>
      <c r="M368" s="8" t="str">
        <f>IF(COUNTIF(Payments_Raw!$B:$B,A368)=0,"Unpaid",IF(N368&gt;=G368,"Paid",IF(N368&gt;0,"Partial Payment",IF(COUNTIFS(Payments_Raw!$B:$B,A368,Payments_Raw!$F:$F,"Failed")&gt;0,"Failed",IF(COUNTIFS(Payments_Raw!$B:$B,A368,Payments_Raw!$F:$F,"Pending")&gt;0,"Pending","Unpaid")))))</f>
        <v>Failed</v>
      </c>
      <c r="N368" s="8">
        <f>SUMIFS(Payments_Raw!$E:$E,Payments_Raw!$B:$B,A368,Payments_Raw!$F:$F,"Successful")</f>
        <v>0</v>
      </c>
      <c r="O368" s="26">
        <f t="shared" si="21"/>
        <v>14443.22</v>
      </c>
      <c r="P368" s="9" t="str">
        <f t="shared" si="22"/>
        <v>Failed Payment</v>
      </c>
      <c r="Q368" s="14" t="str">
        <f t="shared" si="23"/>
        <v>Overdue</v>
      </c>
      <c r="R368" s="14"/>
    </row>
    <row r="369" spans="1:18" x14ac:dyDescent="0.25">
      <c r="A369" s="18" t="s">
        <v>1142</v>
      </c>
      <c r="B369" s="8" t="s">
        <v>12</v>
      </c>
      <c r="C369" s="8" t="s">
        <v>1143</v>
      </c>
      <c r="D369" s="8" t="s">
        <v>1144</v>
      </c>
      <c r="E369" s="19">
        <v>46144</v>
      </c>
      <c r="F369" s="19">
        <v>46159</v>
      </c>
      <c r="G369" s="8">
        <v>14861.89</v>
      </c>
      <c r="H369" s="8" t="s">
        <v>15</v>
      </c>
      <c r="I369" s="8" t="s">
        <v>29</v>
      </c>
      <c r="J369" s="8" t="s">
        <v>17</v>
      </c>
      <c r="K369" s="8" t="s">
        <v>24</v>
      </c>
      <c r="L369" t="str">
        <f t="shared" si="20"/>
        <v>Unique</v>
      </c>
      <c r="M369" s="8" t="str">
        <f>IF(COUNTIF(Payments_Raw!$B:$B,A369)=0,"Unpaid",IF(N369&gt;=G369,"Paid",IF(N369&gt;0,"Partial Payment",IF(COUNTIFS(Payments_Raw!$B:$B,A369,Payments_Raw!$F:$F,"Failed")&gt;0,"Failed",IF(COUNTIFS(Payments_Raw!$B:$B,A369,Payments_Raw!$F:$F,"Pending")&gt;0,"Pending","Unpaid")))))</f>
        <v>Paid</v>
      </c>
      <c r="N369" s="8">
        <f>SUMIFS(Payments_Raw!$E:$E,Payments_Raw!$B:$B,A369,Payments_Raw!$F:$F,"Successful")</f>
        <v>14861.89</v>
      </c>
      <c r="O369" s="26">
        <f t="shared" si="21"/>
        <v>0</v>
      </c>
      <c r="P369" s="9" t="str">
        <f t="shared" si="22"/>
        <v>No Exception</v>
      </c>
      <c r="Q369" s="14" t="str">
        <f t="shared" si="23"/>
        <v>Not Overdue</v>
      </c>
      <c r="R369" s="14"/>
    </row>
    <row r="370" spans="1:18" x14ac:dyDescent="0.25">
      <c r="A370" s="18" t="s">
        <v>1145</v>
      </c>
      <c r="B370" s="8" t="s">
        <v>170</v>
      </c>
      <c r="C370" s="8" t="s">
        <v>1146</v>
      </c>
      <c r="D370" s="8" t="s">
        <v>1147</v>
      </c>
      <c r="E370" s="19">
        <v>46095</v>
      </c>
      <c r="F370" s="19">
        <v>46125</v>
      </c>
      <c r="G370" s="8">
        <v>14130.15</v>
      </c>
      <c r="H370" s="8" t="s">
        <v>15</v>
      </c>
      <c r="I370" s="8" t="s">
        <v>16</v>
      </c>
      <c r="J370" s="8" t="s">
        <v>17</v>
      </c>
      <c r="K370" s="8" t="s">
        <v>18</v>
      </c>
      <c r="L370" t="str">
        <f t="shared" si="20"/>
        <v>Duplicate</v>
      </c>
      <c r="M370" s="8" t="str">
        <f>IF(COUNTIF(Payments_Raw!$B:$B,A370)=0,"Unpaid",IF(N370&gt;=G370,"Paid",IF(N370&gt;0,"Partial Payment",IF(COUNTIFS(Payments_Raw!$B:$B,A370,Payments_Raw!$F:$F,"Failed")&gt;0,"Failed",IF(COUNTIFS(Payments_Raw!$B:$B,A370,Payments_Raw!$F:$F,"Pending")&gt;0,"Pending","Unpaid")))))</f>
        <v>Paid</v>
      </c>
      <c r="N370" s="8">
        <f>SUMIFS(Payments_Raw!$E:$E,Payments_Raw!$B:$B,A370,Payments_Raw!$F:$F,"Successful")</f>
        <v>14130.15</v>
      </c>
      <c r="O370" s="26">
        <f t="shared" si="21"/>
        <v>0</v>
      </c>
      <c r="P370" s="9" t="str">
        <f t="shared" si="22"/>
        <v>Duplicate Invoice</v>
      </c>
      <c r="Q370" s="14" t="str">
        <f t="shared" si="23"/>
        <v>Not Overdue</v>
      </c>
      <c r="R370" s="14"/>
    </row>
    <row r="371" spans="1:18" x14ac:dyDescent="0.25">
      <c r="A371" s="18" t="s">
        <v>1148</v>
      </c>
      <c r="B371" s="8" t="s">
        <v>89</v>
      </c>
      <c r="C371" s="8" t="s">
        <v>1149</v>
      </c>
      <c r="D371" s="8" t="s">
        <v>1150</v>
      </c>
      <c r="E371" s="19">
        <v>46142</v>
      </c>
      <c r="F371" s="19">
        <v>46157</v>
      </c>
      <c r="G371" s="8">
        <v>41729.61</v>
      </c>
      <c r="H371" s="8" t="s">
        <v>15</v>
      </c>
      <c r="I371" s="8" t="s">
        <v>16</v>
      </c>
      <c r="J371" s="8" t="s">
        <v>30</v>
      </c>
      <c r="K371" s="8" t="s">
        <v>24</v>
      </c>
      <c r="L371" t="str">
        <f t="shared" si="20"/>
        <v>Unique</v>
      </c>
      <c r="M371" s="8" t="str">
        <f>IF(COUNTIF(Payments_Raw!$B:$B,A371)=0,"Unpaid",IF(N371&gt;=G371,"Paid",IF(N371&gt;0,"Partial Payment",IF(COUNTIFS(Payments_Raw!$B:$B,A371,Payments_Raw!$F:$F,"Failed")&gt;0,"Failed",IF(COUNTIFS(Payments_Raw!$B:$B,A371,Payments_Raw!$F:$F,"Pending")&gt;0,"Pending","Unpaid")))))</f>
        <v>Paid</v>
      </c>
      <c r="N371" s="8">
        <f>SUMIFS(Payments_Raw!$E:$E,Payments_Raw!$B:$B,A371,Payments_Raw!$F:$F,"Successful")</f>
        <v>41729.61</v>
      </c>
      <c r="O371" s="26">
        <f t="shared" si="21"/>
        <v>0</v>
      </c>
      <c r="P371" s="9" t="str">
        <f t="shared" si="22"/>
        <v>No Exception</v>
      </c>
      <c r="Q371" s="14" t="str">
        <f t="shared" si="23"/>
        <v>Not Overdue</v>
      </c>
      <c r="R371" s="14"/>
    </row>
    <row r="372" spans="1:18" x14ac:dyDescent="0.25">
      <c r="A372" s="18" t="s">
        <v>1151</v>
      </c>
      <c r="B372" s="8" t="s">
        <v>12</v>
      </c>
      <c r="C372" s="8" t="s">
        <v>1152</v>
      </c>
      <c r="D372" s="8" t="s">
        <v>1153</v>
      </c>
      <c r="E372" s="19">
        <v>46188</v>
      </c>
      <c r="F372" s="19">
        <v>46203</v>
      </c>
      <c r="G372" s="8">
        <v>1601.75</v>
      </c>
      <c r="H372" s="8" t="s">
        <v>15</v>
      </c>
      <c r="I372" s="8" t="s">
        <v>29</v>
      </c>
      <c r="J372" s="8" t="s">
        <v>17</v>
      </c>
      <c r="K372" s="8" t="s">
        <v>63</v>
      </c>
      <c r="L372" t="str">
        <f t="shared" si="20"/>
        <v>Unique</v>
      </c>
      <c r="M372" s="8" t="str">
        <f>IF(COUNTIF(Payments_Raw!$B:$B,A372)=0,"Unpaid",IF(N372&gt;=G372,"Paid",IF(N372&gt;0,"Partial Payment",IF(COUNTIFS(Payments_Raw!$B:$B,A372,Payments_Raw!$F:$F,"Failed")&gt;0,"Failed",IF(COUNTIFS(Payments_Raw!$B:$B,A372,Payments_Raw!$F:$F,"Pending")&gt;0,"Pending","Unpaid")))))</f>
        <v>Paid</v>
      </c>
      <c r="N372" s="8">
        <f>SUMIFS(Payments_Raw!$E:$E,Payments_Raw!$B:$B,A372,Payments_Raw!$F:$F,"Successful")</f>
        <v>1601.75</v>
      </c>
      <c r="O372" s="26">
        <f t="shared" si="21"/>
        <v>0</v>
      </c>
      <c r="P372" s="9" t="str">
        <f t="shared" si="22"/>
        <v>No Exception</v>
      </c>
      <c r="Q372" s="14" t="str">
        <f t="shared" si="23"/>
        <v>Not Overdue</v>
      </c>
      <c r="R372" s="14"/>
    </row>
    <row r="373" spans="1:18" x14ac:dyDescent="0.25">
      <c r="A373" s="18" t="s">
        <v>1154</v>
      </c>
      <c r="B373" s="8" t="s">
        <v>102</v>
      </c>
      <c r="C373" s="8" t="s">
        <v>1155</v>
      </c>
      <c r="D373" s="8" t="s">
        <v>1156</v>
      </c>
      <c r="E373" s="19">
        <v>46214</v>
      </c>
      <c r="F373" s="19">
        <v>46259</v>
      </c>
      <c r="G373" s="8">
        <v>17648.91</v>
      </c>
      <c r="H373" s="8" t="s">
        <v>15</v>
      </c>
      <c r="I373" s="8" t="s">
        <v>16</v>
      </c>
      <c r="J373" s="8" t="s">
        <v>17</v>
      </c>
      <c r="K373" s="8" t="s">
        <v>18</v>
      </c>
      <c r="L373" t="str">
        <f t="shared" si="20"/>
        <v>Unique</v>
      </c>
      <c r="M373" s="8" t="str">
        <f>IF(COUNTIF(Payments_Raw!$B:$B,A373)=0,"Unpaid",IF(N373&gt;=G373,"Paid",IF(N373&gt;0,"Partial Payment",IF(COUNTIFS(Payments_Raw!$B:$B,A373,Payments_Raw!$F:$F,"Failed")&gt;0,"Failed",IF(COUNTIFS(Payments_Raw!$B:$B,A373,Payments_Raw!$F:$F,"Pending")&gt;0,"Pending","Unpaid")))))</f>
        <v>Paid</v>
      </c>
      <c r="N373" s="8">
        <f>SUMIFS(Payments_Raw!$E:$E,Payments_Raw!$B:$B,A373,Payments_Raw!$F:$F,"Successful")</f>
        <v>17648.91</v>
      </c>
      <c r="O373" s="26">
        <f t="shared" si="21"/>
        <v>0</v>
      </c>
      <c r="P373" s="9" t="str">
        <f t="shared" si="22"/>
        <v>No Exception</v>
      </c>
      <c r="Q373" s="14" t="str">
        <f t="shared" si="23"/>
        <v>Not Overdue</v>
      </c>
      <c r="R373" s="14"/>
    </row>
    <row r="374" spans="1:18" x14ac:dyDescent="0.25">
      <c r="A374" s="18" t="s">
        <v>1157</v>
      </c>
      <c r="B374" s="8" t="s">
        <v>85</v>
      </c>
      <c r="C374" s="8" t="s">
        <v>1158</v>
      </c>
      <c r="D374" s="8" t="s">
        <v>1159</v>
      </c>
      <c r="E374" s="19">
        <v>46272</v>
      </c>
      <c r="F374" s="19">
        <v>46317</v>
      </c>
      <c r="G374" s="8">
        <v>16271.61</v>
      </c>
      <c r="H374" s="8" t="s">
        <v>15</v>
      </c>
      <c r="I374" s="8" t="s">
        <v>23</v>
      </c>
      <c r="J374" s="8" t="s">
        <v>17</v>
      </c>
      <c r="K374" s="8" t="s">
        <v>63</v>
      </c>
      <c r="L374" t="str">
        <f t="shared" si="20"/>
        <v>Unique</v>
      </c>
      <c r="M374" s="8" t="str">
        <f>IF(COUNTIF(Payments_Raw!$B:$B,A374)=0,"Unpaid",IF(N374&gt;=G374,"Paid",IF(N374&gt;0,"Partial Payment",IF(COUNTIFS(Payments_Raw!$B:$B,A374,Payments_Raw!$F:$F,"Failed")&gt;0,"Failed",IF(COUNTIFS(Payments_Raw!$B:$B,A374,Payments_Raw!$F:$F,"Pending")&gt;0,"Pending","Unpaid")))))</f>
        <v>Paid</v>
      </c>
      <c r="N374" s="8">
        <f>SUMIFS(Payments_Raw!$E:$E,Payments_Raw!$B:$B,A374,Payments_Raw!$F:$F,"Successful")</f>
        <v>16271.61</v>
      </c>
      <c r="O374" s="26">
        <f t="shared" si="21"/>
        <v>0</v>
      </c>
      <c r="P374" s="9" t="str">
        <f t="shared" si="22"/>
        <v>No Exception</v>
      </c>
      <c r="Q374" s="14" t="str">
        <f t="shared" si="23"/>
        <v>Not Overdue</v>
      </c>
      <c r="R374" s="14"/>
    </row>
    <row r="375" spans="1:18" x14ac:dyDescent="0.25">
      <c r="A375" s="18" t="s">
        <v>1160</v>
      </c>
      <c r="B375" s="8" t="s">
        <v>20</v>
      </c>
      <c r="C375" s="8" t="s">
        <v>1161</v>
      </c>
      <c r="D375" s="8" t="s">
        <v>1162</v>
      </c>
      <c r="E375" s="19">
        <v>46112</v>
      </c>
      <c r="F375" s="19">
        <v>46127</v>
      </c>
      <c r="G375" s="8">
        <v>9534.2000000000007</v>
      </c>
      <c r="H375" s="8" t="s">
        <v>15</v>
      </c>
      <c r="I375" s="8" t="s">
        <v>29</v>
      </c>
      <c r="J375" s="8" t="s">
        <v>30</v>
      </c>
      <c r="K375" s="8" t="s">
        <v>24</v>
      </c>
      <c r="L375" t="str">
        <f t="shared" si="20"/>
        <v>Unique</v>
      </c>
      <c r="M375" s="8" t="str">
        <f>IF(COUNTIF(Payments_Raw!$B:$B,A375)=0,"Unpaid",IF(N375&gt;=G375,"Paid",IF(N375&gt;0,"Partial Payment",IF(COUNTIFS(Payments_Raw!$B:$B,A375,Payments_Raw!$F:$F,"Failed")&gt;0,"Failed",IF(COUNTIFS(Payments_Raw!$B:$B,A375,Payments_Raw!$F:$F,"Pending")&gt;0,"Pending","Unpaid")))))</f>
        <v>Failed</v>
      </c>
      <c r="N375" s="8">
        <f>SUMIFS(Payments_Raw!$E:$E,Payments_Raw!$B:$B,A375,Payments_Raw!$F:$F,"Successful")</f>
        <v>0</v>
      </c>
      <c r="O375" s="26">
        <f t="shared" si="21"/>
        <v>9534.2000000000007</v>
      </c>
      <c r="P375" s="9" t="str">
        <f t="shared" si="22"/>
        <v>Failed Payment</v>
      </c>
      <c r="Q375" s="14" t="str">
        <f t="shared" si="23"/>
        <v>Overdue</v>
      </c>
      <c r="R375" s="14"/>
    </row>
    <row r="376" spans="1:18" x14ac:dyDescent="0.25">
      <c r="A376" s="18" t="s">
        <v>1163</v>
      </c>
      <c r="B376" s="8" t="s">
        <v>170</v>
      </c>
      <c r="C376" s="8" t="s">
        <v>1164</v>
      </c>
      <c r="D376" s="8" t="s">
        <v>1165</v>
      </c>
      <c r="E376" s="19">
        <v>46223</v>
      </c>
      <c r="F376" s="19">
        <v>46253</v>
      </c>
      <c r="G376" s="8">
        <v>21286.83</v>
      </c>
      <c r="H376" s="8" t="s">
        <v>15</v>
      </c>
      <c r="I376" s="8" t="s">
        <v>29</v>
      </c>
      <c r="J376" s="8" t="s">
        <v>17</v>
      </c>
      <c r="K376" s="8" t="s">
        <v>24</v>
      </c>
      <c r="L376" t="str">
        <f t="shared" si="20"/>
        <v>Unique</v>
      </c>
      <c r="M376" s="8" t="str">
        <f>IF(COUNTIF(Payments_Raw!$B:$B,A376)=0,"Unpaid",IF(N376&gt;=G376,"Paid",IF(N376&gt;0,"Partial Payment",IF(COUNTIFS(Payments_Raw!$B:$B,A376,Payments_Raw!$F:$F,"Failed")&gt;0,"Failed",IF(COUNTIFS(Payments_Raw!$B:$B,A376,Payments_Raw!$F:$F,"Pending")&gt;0,"Pending","Unpaid")))))</f>
        <v>Paid</v>
      </c>
      <c r="N376" s="8">
        <f>SUMIFS(Payments_Raw!$E:$E,Payments_Raw!$B:$B,A376,Payments_Raw!$F:$F,"Successful")</f>
        <v>21286.83</v>
      </c>
      <c r="O376" s="26">
        <f t="shared" si="21"/>
        <v>0</v>
      </c>
      <c r="P376" s="9" t="str">
        <f t="shared" si="22"/>
        <v>No Exception</v>
      </c>
      <c r="Q376" s="14" t="str">
        <f t="shared" si="23"/>
        <v>Not Overdue</v>
      </c>
      <c r="R376" s="14"/>
    </row>
    <row r="377" spans="1:18" x14ac:dyDescent="0.25">
      <c r="A377" s="18" t="s">
        <v>1166</v>
      </c>
      <c r="B377" s="8" t="s">
        <v>20</v>
      </c>
      <c r="C377" s="8" t="s">
        <v>1167</v>
      </c>
      <c r="D377" s="8" t="s">
        <v>1168</v>
      </c>
      <c r="E377" s="19">
        <v>46076</v>
      </c>
      <c r="F377" s="19">
        <v>46091</v>
      </c>
      <c r="G377" s="8">
        <v>23424.79</v>
      </c>
      <c r="H377" s="8" t="s">
        <v>15</v>
      </c>
      <c r="I377" s="8" t="s">
        <v>16</v>
      </c>
      <c r="J377" s="8" t="s">
        <v>17</v>
      </c>
      <c r="K377" s="8" t="s">
        <v>24</v>
      </c>
      <c r="L377" t="str">
        <f t="shared" si="20"/>
        <v>Unique</v>
      </c>
      <c r="M377" s="8" t="str">
        <f>IF(COUNTIF(Payments_Raw!$B:$B,A377)=0,"Unpaid",IF(N377&gt;=G377,"Paid",IF(N377&gt;0,"Partial Payment",IF(COUNTIFS(Payments_Raw!$B:$B,A377,Payments_Raw!$F:$F,"Failed")&gt;0,"Failed",IF(COUNTIFS(Payments_Raw!$B:$B,A377,Payments_Raw!$F:$F,"Pending")&gt;0,"Pending","Unpaid")))))</f>
        <v>Paid</v>
      </c>
      <c r="N377" s="8">
        <f>SUMIFS(Payments_Raw!$E:$E,Payments_Raw!$B:$B,A377,Payments_Raw!$F:$F,"Successful")</f>
        <v>23424.79</v>
      </c>
      <c r="O377" s="26">
        <f t="shared" si="21"/>
        <v>0</v>
      </c>
      <c r="P377" s="9" t="str">
        <f t="shared" si="22"/>
        <v>No Exception</v>
      </c>
      <c r="Q377" s="14" t="str">
        <f t="shared" si="23"/>
        <v>Not Overdue</v>
      </c>
      <c r="R377" s="14"/>
    </row>
    <row r="378" spans="1:18" x14ac:dyDescent="0.25">
      <c r="A378" s="18" t="s">
        <v>1169</v>
      </c>
      <c r="B378" s="8" t="s">
        <v>102</v>
      </c>
      <c r="C378" s="8" t="s">
        <v>1170</v>
      </c>
      <c r="D378" s="8" t="s">
        <v>1171</v>
      </c>
      <c r="E378" s="19">
        <v>46194</v>
      </c>
      <c r="F378" s="19">
        <v>46239</v>
      </c>
      <c r="G378" s="8">
        <v>11232.15</v>
      </c>
      <c r="H378" s="8" t="s">
        <v>15</v>
      </c>
      <c r="I378" s="8" t="s">
        <v>29</v>
      </c>
      <c r="J378" s="8" t="s">
        <v>17</v>
      </c>
      <c r="K378" s="8" t="s">
        <v>18</v>
      </c>
      <c r="L378" t="str">
        <f t="shared" si="20"/>
        <v>Unique</v>
      </c>
      <c r="M378" s="8" t="str">
        <f>IF(COUNTIF(Payments_Raw!$B:$B,A378)=0,"Unpaid",IF(N378&gt;=G378,"Paid",IF(N378&gt;0,"Partial Payment",IF(COUNTIFS(Payments_Raw!$B:$B,A378,Payments_Raw!$F:$F,"Failed")&gt;0,"Failed",IF(COUNTIFS(Payments_Raw!$B:$B,A378,Payments_Raw!$F:$F,"Pending")&gt;0,"Pending","Unpaid")))))</f>
        <v>Pending</v>
      </c>
      <c r="N378" s="8">
        <f>SUMIFS(Payments_Raw!$E:$E,Payments_Raw!$B:$B,A378,Payments_Raw!$F:$F,"Successful")</f>
        <v>0</v>
      </c>
      <c r="O378" s="26">
        <f t="shared" si="21"/>
        <v>11232.15</v>
      </c>
      <c r="P378" s="9" t="str">
        <f t="shared" si="22"/>
        <v>Pending Payment</v>
      </c>
      <c r="Q378" s="14" t="str">
        <f t="shared" si="23"/>
        <v>Overdue</v>
      </c>
      <c r="R378" s="14"/>
    </row>
    <row r="379" spans="1:18" x14ac:dyDescent="0.25">
      <c r="A379" s="18" t="s">
        <v>1172</v>
      </c>
      <c r="B379" s="8" t="s">
        <v>71</v>
      </c>
      <c r="C379" s="8" t="s">
        <v>1173</v>
      </c>
      <c r="D379" s="8" t="s">
        <v>1174</v>
      </c>
      <c r="E379" s="19">
        <v>46047</v>
      </c>
      <c r="F379" s="19">
        <v>46062</v>
      </c>
      <c r="G379" s="8">
        <v>9722.11</v>
      </c>
      <c r="H379" s="8" t="s">
        <v>15</v>
      </c>
      <c r="I379" s="8" t="s">
        <v>16</v>
      </c>
      <c r="J379" s="8" t="s">
        <v>17</v>
      </c>
      <c r="K379" s="8" t="s">
        <v>24</v>
      </c>
      <c r="L379" t="str">
        <f t="shared" si="20"/>
        <v>Unique</v>
      </c>
      <c r="M379" s="8" t="str">
        <f>IF(COUNTIF(Payments_Raw!$B:$B,A379)=0,"Unpaid",IF(N379&gt;=G379,"Paid",IF(N379&gt;0,"Partial Payment",IF(COUNTIFS(Payments_Raw!$B:$B,A379,Payments_Raw!$F:$F,"Failed")&gt;0,"Failed",IF(COUNTIFS(Payments_Raw!$B:$B,A379,Payments_Raw!$F:$F,"Pending")&gt;0,"Pending","Unpaid")))))</f>
        <v>Paid</v>
      </c>
      <c r="N379" s="8">
        <f>SUMIFS(Payments_Raw!$E:$E,Payments_Raw!$B:$B,A379,Payments_Raw!$F:$F,"Successful")</f>
        <v>9722.11</v>
      </c>
      <c r="O379" s="26">
        <f t="shared" si="21"/>
        <v>0</v>
      </c>
      <c r="P379" s="9" t="str">
        <f t="shared" si="22"/>
        <v>No Exception</v>
      </c>
      <c r="Q379" s="14" t="str">
        <f t="shared" si="23"/>
        <v>Not Overdue</v>
      </c>
      <c r="R379" s="14"/>
    </row>
    <row r="380" spans="1:18" x14ac:dyDescent="0.25">
      <c r="A380" s="18" t="s">
        <v>1175</v>
      </c>
      <c r="B380" s="8" t="s">
        <v>41</v>
      </c>
      <c r="C380" s="8" t="s">
        <v>1176</v>
      </c>
      <c r="D380" s="8" t="s">
        <v>1177</v>
      </c>
      <c r="E380" s="19">
        <v>46074</v>
      </c>
      <c r="F380" s="19">
        <v>46089</v>
      </c>
      <c r="G380" s="8">
        <v>20740.72</v>
      </c>
      <c r="H380" s="8" t="s">
        <v>15</v>
      </c>
      <c r="I380" s="8" t="s">
        <v>39</v>
      </c>
      <c r="J380" s="8" t="s">
        <v>17</v>
      </c>
      <c r="K380" s="8" t="s">
        <v>63</v>
      </c>
      <c r="L380" t="str">
        <f t="shared" si="20"/>
        <v>Unique</v>
      </c>
      <c r="M380" s="8" t="str">
        <f>IF(COUNTIF(Payments_Raw!$B:$B,A380)=0,"Unpaid",IF(N380&gt;=G380,"Paid",IF(N380&gt;0,"Partial Payment",IF(COUNTIFS(Payments_Raw!$B:$B,A380,Payments_Raw!$F:$F,"Failed")&gt;0,"Failed",IF(COUNTIFS(Payments_Raw!$B:$B,A380,Payments_Raw!$F:$F,"Pending")&gt;0,"Pending","Unpaid")))))</f>
        <v>Paid</v>
      </c>
      <c r="N380" s="8">
        <f>SUMIFS(Payments_Raw!$E:$E,Payments_Raw!$B:$B,A380,Payments_Raw!$F:$F,"Successful")</f>
        <v>20740.72</v>
      </c>
      <c r="O380" s="26">
        <f t="shared" si="21"/>
        <v>0</v>
      </c>
      <c r="P380" s="9" t="str">
        <f t="shared" si="22"/>
        <v>No Exception</v>
      </c>
      <c r="Q380" s="14" t="str">
        <f t="shared" si="23"/>
        <v>Not Overdue</v>
      </c>
      <c r="R380" s="14"/>
    </row>
    <row r="381" spans="1:18" x14ac:dyDescent="0.25">
      <c r="A381" s="18" t="s">
        <v>1178</v>
      </c>
      <c r="B381" s="8" t="s">
        <v>102</v>
      </c>
      <c r="C381" s="8" t="s">
        <v>1179</v>
      </c>
      <c r="D381" s="8" t="s">
        <v>1180</v>
      </c>
      <c r="E381" s="19">
        <v>46040</v>
      </c>
      <c r="F381" s="19">
        <v>46085</v>
      </c>
      <c r="G381" s="8">
        <v>7457.33</v>
      </c>
      <c r="H381" s="8" t="s">
        <v>15</v>
      </c>
      <c r="I381" s="8" t="s">
        <v>16</v>
      </c>
      <c r="J381" s="8" t="s">
        <v>17</v>
      </c>
      <c r="K381" s="8" t="s">
        <v>18</v>
      </c>
      <c r="L381" t="str">
        <f t="shared" si="20"/>
        <v>Unique</v>
      </c>
      <c r="M381" s="8" t="str">
        <f>IF(COUNTIF(Payments_Raw!$B:$B,A381)=0,"Unpaid",IF(N381&gt;=G381,"Paid",IF(N381&gt;0,"Partial Payment",IF(COUNTIFS(Payments_Raw!$B:$B,A381,Payments_Raw!$F:$F,"Failed")&gt;0,"Failed",IF(COUNTIFS(Payments_Raw!$B:$B,A381,Payments_Raw!$F:$F,"Pending")&gt;0,"Pending","Unpaid")))))</f>
        <v>Unpaid</v>
      </c>
      <c r="N381" s="8">
        <f>SUMIFS(Payments_Raw!$E:$E,Payments_Raw!$B:$B,A381,Payments_Raw!$F:$F,"Successful")</f>
        <v>0</v>
      </c>
      <c r="O381" s="26">
        <f t="shared" si="21"/>
        <v>7457.33</v>
      </c>
      <c r="P381" s="9" t="str">
        <f t="shared" si="22"/>
        <v>Unpaid Invoice</v>
      </c>
      <c r="Q381" s="14" t="str">
        <f t="shared" si="23"/>
        <v>Overdue</v>
      </c>
      <c r="R381" s="14"/>
    </row>
    <row r="382" spans="1:18" x14ac:dyDescent="0.25">
      <c r="A382" s="18" t="s">
        <v>1181</v>
      </c>
      <c r="B382" s="8" t="s">
        <v>102</v>
      </c>
      <c r="C382" s="8" t="s">
        <v>1182</v>
      </c>
      <c r="D382" s="8" t="s">
        <v>1183</v>
      </c>
      <c r="E382" s="19">
        <v>46303</v>
      </c>
      <c r="F382" s="19">
        <v>46348</v>
      </c>
      <c r="G382" s="8">
        <v>23552.83</v>
      </c>
      <c r="H382" s="8" t="s">
        <v>15</v>
      </c>
      <c r="I382" s="8" t="s">
        <v>23</v>
      </c>
      <c r="J382" s="8" t="s">
        <v>17</v>
      </c>
      <c r="K382" s="8" t="s">
        <v>24</v>
      </c>
      <c r="L382" t="str">
        <f t="shared" si="20"/>
        <v>Unique</v>
      </c>
      <c r="M382" s="8" t="str">
        <f>IF(COUNTIF(Payments_Raw!$B:$B,A382)=0,"Unpaid",IF(N382&gt;=G382,"Paid",IF(N382&gt;0,"Partial Payment",IF(COUNTIFS(Payments_Raw!$B:$B,A382,Payments_Raw!$F:$F,"Failed")&gt;0,"Failed",IF(COUNTIFS(Payments_Raw!$B:$B,A382,Payments_Raw!$F:$F,"Pending")&gt;0,"Pending","Unpaid")))))</f>
        <v>Unpaid</v>
      </c>
      <c r="N382" s="8">
        <f>SUMIFS(Payments_Raw!$E:$E,Payments_Raw!$B:$B,A382,Payments_Raw!$F:$F,"Successful")</f>
        <v>0</v>
      </c>
      <c r="O382" s="26">
        <f t="shared" si="21"/>
        <v>23552.83</v>
      </c>
      <c r="P382" s="9" t="str">
        <f t="shared" si="22"/>
        <v>Unpaid Invoice</v>
      </c>
      <c r="Q382" s="14" t="str">
        <f t="shared" si="23"/>
        <v>Overdue</v>
      </c>
      <c r="R382" s="14"/>
    </row>
    <row r="383" spans="1:18" x14ac:dyDescent="0.25">
      <c r="A383" s="18" t="s">
        <v>1184</v>
      </c>
      <c r="B383" s="8" t="s">
        <v>71</v>
      </c>
      <c r="C383" s="8" t="s">
        <v>1185</v>
      </c>
      <c r="D383" s="8" t="s">
        <v>1186</v>
      </c>
      <c r="E383" s="19">
        <v>46243</v>
      </c>
      <c r="F383" s="19">
        <v>46258</v>
      </c>
      <c r="G383" s="8">
        <v>23567.96</v>
      </c>
      <c r="H383" s="8" t="s">
        <v>15</v>
      </c>
      <c r="I383" s="8" t="s">
        <v>29</v>
      </c>
      <c r="J383" s="8" t="s">
        <v>17</v>
      </c>
      <c r="K383" s="8" t="s">
        <v>18</v>
      </c>
      <c r="L383" t="str">
        <f t="shared" si="20"/>
        <v>Unique</v>
      </c>
      <c r="M383" s="8" t="str">
        <f>IF(COUNTIF(Payments_Raw!$B:$B,A383)=0,"Unpaid",IF(N383&gt;=G383,"Paid",IF(N383&gt;0,"Partial Payment",IF(COUNTIFS(Payments_Raw!$B:$B,A383,Payments_Raw!$F:$F,"Failed")&gt;0,"Failed",IF(COUNTIFS(Payments_Raw!$B:$B,A383,Payments_Raw!$F:$F,"Pending")&gt;0,"Pending","Unpaid")))))</f>
        <v>Failed</v>
      </c>
      <c r="N383" s="8">
        <f>SUMIFS(Payments_Raw!$E:$E,Payments_Raw!$B:$B,A383,Payments_Raw!$F:$F,"Successful")</f>
        <v>0</v>
      </c>
      <c r="O383" s="26">
        <f t="shared" si="21"/>
        <v>23567.96</v>
      </c>
      <c r="P383" s="9" t="str">
        <f t="shared" si="22"/>
        <v>Failed Payment</v>
      </c>
      <c r="Q383" s="14" t="str">
        <f t="shared" si="23"/>
        <v>Overdue</v>
      </c>
      <c r="R383" s="14"/>
    </row>
    <row r="384" spans="1:18" x14ac:dyDescent="0.25">
      <c r="A384" s="18" t="s">
        <v>1187</v>
      </c>
      <c r="B384" s="8" t="s">
        <v>85</v>
      </c>
      <c r="C384" s="8" t="s">
        <v>1188</v>
      </c>
      <c r="D384" s="8" t="s">
        <v>1189</v>
      </c>
      <c r="E384" s="19">
        <v>46306</v>
      </c>
      <c r="F384" s="19">
        <v>46351</v>
      </c>
      <c r="G384" s="8">
        <v>18084.310000000001</v>
      </c>
      <c r="H384" s="8" t="s">
        <v>15</v>
      </c>
      <c r="I384" s="8" t="s">
        <v>16</v>
      </c>
      <c r="J384" s="8" t="s">
        <v>17</v>
      </c>
      <c r="K384" s="8" t="s">
        <v>18</v>
      </c>
      <c r="L384" t="str">
        <f t="shared" si="20"/>
        <v>Unique</v>
      </c>
      <c r="M384" s="8" t="str">
        <f>IF(COUNTIF(Payments_Raw!$B:$B,A384)=0,"Unpaid",IF(N384&gt;=G384,"Paid",IF(N384&gt;0,"Partial Payment",IF(COUNTIFS(Payments_Raw!$B:$B,A384,Payments_Raw!$F:$F,"Failed")&gt;0,"Failed",IF(COUNTIFS(Payments_Raw!$B:$B,A384,Payments_Raw!$F:$F,"Pending")&gt;0,"Pending","Unpaid")))))</f>
        <v>Paid</v>
      </c>
      <c r="N384" s="8">
        <f>SUMIFS(Payments_Raw!$E:$E,Payments_Raw!$B:$B,A384,Payments_Raw!$F:$F,"Successful")</f>
        <v>18084.310000000001</v>
      </c>
      <c r="O384" s="26">
        <f t="shared" si="21"/>
        <v>0</v>
      </c>
      <c r="P384" s="9" t="str">
        <f t="shared" si="22"/>
        <v>No Exception</v>
      </c>
      <c r="Q384" s="14" t="str">
        <f t="shared" si="23"/>
        <v>Not Overdue</v>
      </c>
      <c r="R384" s="14"/>
    </row>
    <row r="385" spans="1:18" x14ac:dyDescent="0.25">
      <c r="A385" s="18" t="s">
        <v>1190</v>
      </c>
      <c r="B385" s="8" t="s">
        <v>41</v>
      </c>
      <c r="C385" s="8" t="s">
        <v>1191</v>
      </c>
      <c r="D385" s="8" t="s">
        <v>1192</v>
      </c>
      <c r="E385" s="19">
        <v>46304</v>
      </c>
      <c r="F385" s="19">
        <v>46319</v>
      </c>
      <c r="G385" s="8">
        <v>21015.58</v>
      </c>
      <c r="H385" s="8" t="s">
        <v>15</v>
      </c>
      <c r="I385" s="8" t="s">
        <v>16</v>
      </c>
      <c r="J385" s="8" t="s">
        <v>17</v>
      </c>
      <c r="K385" s="8" t="s">
        <v>24</v>
      </c>
      <c r="L385" t="str">
        <f t="shared" si="20"/>
        <v>Unique</v>
      </c>
      <c r="M385" s="8" t="str">
        <f>IF(COUNTIF(Payments_Raw!$B:$B,A385)=0,"Unpaid",IF(N385&gt;=G385,"Paid",IF(N385&gt;0,"Partial Payment",IF(COUNTIFS(Payments_Raw!$B:$B,A385,Payments_Raw!$F:$F,"Failed")&gt;0,"Failed",IF(COUNTIFS(Payments_Raw!$B:$B,A385,Payments_Raw!$F:$F,"Pending")&gt;0,"Pending","Unpaid")))))</f>
        <v>Paid</v>
      </c>
      <c r="N385" s="8">
        <f>SUMIFS(Payments_Raw!$E:$E,Payments_Raw!$B:$B,A385,Payments_Raw!$F:$F,"Successful")</f>
        <v>21015.58</v>
      </c>
      <c r="O385" s="26">
        <f t="shared" si="21"/>
        <v>0</v>
      </c>
      <c r="P385" s="9" t="str">
        <f t="shared" si="22"/>
        <v>No Exception</v>
      </c>
      <c r="Q385" s="14" t="str">
        <f t="shared" si="23"/>
        <v>Not Overdue</v>
      </c>
      <c r="R385" s="14"/>
    </row>
    <row r="386" spans="1:18" x14ac:dyDescent="0.25">
      <c r="A386" s="18" t="s">
        <v>1193</v>
      </c>
      <c r="B386" s="8" t="s">
        <v>138</v>
      </c>
      <c r="C386" s="8" t="s">
        <v>1194</v>
      </c>
      <c r="D386" s="8" t="s">
        <v>1195</v>
      </c>
      <c r="E386" s="19">
        <v>46268</v>
      </c>
      <c r="F386" s="19">
        <v>46313</v>
      </c>
      <c r="G386" s="8">
        <v>30979.13</v>
      </c>
      <c r="H386" s="8" t="s">
        <v>15</v>
      </c>
      <c r="I386" s="8" t="s">
        <v>16</v>
      </c>
      <c r="J386" s="8" t="s">
        <v>30</v>
      </c>
      <c r="K386" s="8" t="s">
        <v>63</v>
      </c>
      <c r="L386" t="str">
        <f t="shared" si="20"/>
        <v>Unique</v>
      </c>
      <c r="M386" s="8" t="str">
        <f>IF(COUNTIF(Payments_Raw!$B:$B,A386)=0,"Unpaid",IF(N386&gt;=G386,"Paid",IF(N386&gt;0,"Partial Payment",IF(COUNTIFS(Payments_Raw!$B:$B,A386,Payments_Raw!$F:$F,"Failed")&gt;0,"Failed",IF(COUNTIFS(Payments_Raw!$B:$B,A386,Payments_Raw!$F:$F,"Pending")&gt;0,"Pending","Unpaid")))))</f>
        <v>Paid</v>
      </c>
      <c r="N386" s="8">
        <f>SUMIFS(Payments_Raw!$E:$E,Payments_Raw!$B:$B,A386,Payments_Raw!$F:$F,"Successful")</f>
        <v>30979.13</v>
      </c>
      <c r="O386" s="26">
        <f t="shared" si="21"/>
        <v>0</v>
      </c>
      <c r="P386" s="9" t="str">
        <f t="shared" si="22"/>
        <v>No Exception</v>
      </c>
      <c r="Q386" s="14" t="str">
        <f t="shared" si="23"/>
        <v>Not Overdue</v>
      </c>
      <c r="R386" s="14"/>
    </row>
    <row r="387" spans="1:18" x14ac:dyDescent="0.25">
      <c r="A387" s="18" t="s">
        <v>1196</v>
      </c>
      <c r="B387" s="8" t="s">
        <v>75</v>
      </c>
      <c r="C387" s="8" t="s">
        <v>1197</v>
      </c>
      <c r="D387" s="8" t="s">
        <v>1198</v>
      </c>
      <c r="E387" s="19">
        <v>46273</v>
      </c>
      <c r="F387" s="19">
        <v>46288</v>
      </c>
      <c r="G387" s="8">
        <v>22384.55</v>
      </c>
      <c r="H387" s="8" t="s">
        <v>15</v>
      </c>
      <c r="I387" s="8" t="s">
        <v>16</v>
      </c>
      <c r="J387" s="8" t="s">
        <v>17</v>
      </c>
      <c r="K387" s="8" t="s">
        <v>63</v>
      </c>
      <c r="L387" t="str">
        <f t="shared" ref="L387:L450" si="24">IF(COUNTIFS($B:$B,B387,$C:$C,C387)&gt;1,"Duplicate","Unique")</f>
        <v>Unique</v>
      </c>
      <c r="M387" s="8" t="str">
        <f>IF(COUNTIF(Payments_Raw!$B:$B,A387)=0,"Unpaid",IF(N387&gt;=G387,"Paid",IF(N387&gt;0,"Partial Payment",IF(COUNTIFS(Payments_Raw!$B:$B,A387,Payments_Raw!$F:$F,"Failed")&gt;0,"Failed",IF(COUNTIFS(Payments_Raw!$B:$B,A387,Payments_Raw!$F:$F,"Pending")&gt;0,"Pending","Unpaid")))))</f>
        <v>Unpaid</v>
      </c>
      <c r="N387" s="8">
        <f>SUMIFS(Payments_Raw!$E:$E,Payments_Raw!$B:$B,A387,Payments_Raw!$F:$F,"Successful")</f>
        <v>0</v>
      </c>
      <c r="O387" s="26">
        <f t="shared" ref="O387:O450" si="25">G387-N387</f>
        <v>22384.55</v>
      </c>
      <c r="P387" s="9" t="str">
        <f t="shared" ref="P387:P450" si="26">IF(L387="Duplicate","Duplicate Invoice",IF(M387="Failed","Failed Payment",IF(M387="Pending","Pending Payment",IF(M387="Unpaid","Unpaid Invoice",IF(M387="Partial Payment","Amount Mismatch","No Exception")))))</f>
        <v>Unpaid Invoice</v>
      </c>
      <c r="Q387" s="14" t="str">
        <f t="shared" ref="Q387:Q450" si="27">IF(AND(G387&lt;DATE(2026,10,14),M387&lt;&gt;"Paid"),"Overdue","Not Overdue")</f>
        <v>Overdue</v>
      </c>
      <c r="R387" s="14"/>
    </row>
    <row r="388" spans="1:18" x14ac:dyDescent="0.25">
      <c r="A388" s="18" t="s">
        <v>1199</v>
      </c>
      <c r="B388" s="8" t="s">
        <v>57</v>
      </c>
      <c r="C388" s="8" t="s">
        <v>1200</v>
      </c>
      <c r="D388" s="8" t="s">
        <v>1201</v>
      </c>
      <c r="E388" s="19">
        <v>46118</v>
      </c>
      <c r="F388" s="19">
        <v>46163</v>
      </c>
      <c r="G388" s="8">
        <v>11210.89</v>
      </c>
      <c r="H388" s="8" t="s">
        <v>15</v>
      </c>
      <c r="I388" s="8" t="s">
        <v>16</v>
      </c>
      <c r="J388" s="8" t="s">
        <v>17</v>
      </c>
      <c r="K388" s="8" t="s">
        <v>18</v>
      </c>
      <c r="L388" t="str">
        <f t="shared" si="24"/>
        <v>Unique</v>
      </c>
      <c r="M388" s="8" t="str">
        <f>IF(COUNTIF(Payments_Raw!$B:$B,A388)=0,"Unpaid",IF(N388&gt;=G388,"Paid",IF(N388&gt;0,"Partial Payment",IF(COUNTIFS(Payments_Raw!$B:$B,A388,Payments_Raw!$F:$F,"Failed")&gt;0,"Failed",IF(COUNTIFS(Payments_Raw!$B:$B,A388,Payments_Raw!$F:$F,"Pending")&gt;0,"Pending","Unpaid")))))</f>
        <v>Paid</v>
      </c>
      <c r="N388" s="8">
        <f>SUMIFS(Payments_Raw!$E:$E,Payments_Raw!$B:$B,A388,Payments_Raw!$F:$F,"Successful")</f>
        <v>11210.89</v>
      </c>
      <c r="O388" s="26">
        <f t="shared" si="25"/>
        <v>0</v>
      </c>
      <c r="P388" s="9" t="str">
        <f t="shared" si="26"/>
        <v>No Exception</v>
      </c>
      <c r="Q388" s="14" t="str">
        <f t="shared" si="27"/>
        <v>Not Overdue</v>
      </c>
      <c r="R388" s="14"/>
    </row>
    <row r="389" spans="1:18" x14ac:dyDescent="0.25">
      <c r="A389" s="18" t="s">
        <v>1202</v>
      </c>
      <c r="B389" s="8" t="s">
        <v>122</v>
      </c>
      <c r="C389" s="8" t="s">
        <v>1203</v>
      </c>
      <c r="D389" s="8" t="s">
        <v>1204</v>
      </c>
      <c r="E389" s="19">
        <v>46072</v>
      </c>
      <c r="F389" s="19">
        <v>46087</v>
      </c>
      <c r="G389" s="8">
        <v>2252.4</v>
      </c>
      <c r="H389" s="8" t="s">
        <v>15</v>
      </c>
      <c r="I389" s="8" t="s">
        <v>23</v>
      </c>
      <c r="J389" s="8" t="s">
        <v>17</v>
      </c>
      <c r="K389" s="8" t="s">
        <v>24</v>
      </c>
      <c r="L389" t="str">
        <f t="shared" si="24"/>
        <v>Unique</v>
      </c>
      <c r="M389" s="8" t="str">
        <f>IF(COUNTIF(Payments_Raw!$B:$B,A389)=0,"Unpaid",IF(N389&gt;=G389,"Paid",IF(N389&gt;0,"Partial Payment",IF(COUNTIFS(Payments_Raw!$B:$B,A389,Payments_Raw!$F:$F,"Failed")&gt;0,"Failed",IF(COUNTIFS(Payments_Raw!$B:$B,A389,Payments_Raw!$F:$F,"Pending")&gt;0,"Pending","Unpaid")))))</f>
        <v>Paid</v>
      </c>
      <c r="N389" s="8">
        <f>SUMIFS(Payments_Raw!$E:$E,Payments_Raw!$B:$B,A389,Payments_Raw!$F:$F,"Successful")</f>
        <v>2252.4</v>
      </c>
      <c r="O389" s="26">
        <f t="shared" si="25"/>
        <v>0</v>
      </c>
      <c r="P389" s="9" t="str">
        <f t="shared" si="26"/>
        <v>No Exception</v>
      </c>
      <c r="Q389" s="14" t="str">
        <f t="shared" si="27"/>
        <v>Not Overdue</v>
      </c>
      <c r="R389" s="14"/>
    </row>
    <row r="390" spans="1:18" x14ac:dyDescent="0.25">
      <c r="A390" s="18" t="s">
        <v>1205</v>
      </c>
      <c r="B390" s="8" t="s">
        <v>89</v>
      </c>
      <c r="C390" s="8" t="s">
        <v>1206</v>
      </c>
      <c r="D390" s="8" t="s">
        <v>1207</v>
      </c>
      <c r="E390" s="19">
        <v>46221</v>
      </c>
      <c r="F390" s="19">
        <v>46236</v>
      </c>
      <c r="G390" s="8">
        <v>20481.919999999998</v>
      </c>
      <c r="H390" s="8" t="s">
        <v>15</v>
      </c>
      <c r="I390" s="8" t="s">
        <v>23</v>
      </c>
      <c r="J390" s="8" t="s">
        <v>17</v>
      </c>
      <c r="K390" s="8" t="s">
        <v>18</v>
      </c>
      <c r="L390" t="str">
        <f t="shared" si="24"/>
        <v>Unique</v>
      </c>
      <c r="M390" s="8" t="str">
        <f>IF(COUNTIF(Payments_Raw!$B:$B,A390)=0,"Unpaid",IF(N390&gt;=G390,"Paid",IF(N390&gt;0,"Partial Payment",IF(COUNTIFS(Payments_Raw!$B:$B,A390,Payments_Raw!$F:$F,"Failed")&gt;0,"Failed",IF(COUNTIFS(Payments_Raw!$B:$B,A390,Payments_Raw!$F:$F,"Pending")&gt;0,"Pending","Unpaid")))))</f>
        <v>Paid</v>
      </c>
      <c r="N390" s="8">
        <f>SUMIFS(Payments_Raw!$E:$E,Payments_Raw!$B:$B,A390,Payments_Raw!$F:$F,"Successful")</f>
        <v>20481.919999999998</v>
      </c>
      <c r="O390" s="26">
        <f t="shared" si="25"/>
        <v>0</v>
      </c>
      <c r="P390" s="9" t="str">
        <f t="shared" si="26"/>
        <v>No Exception</v>
      </c>
      <c r="Q390" s="14" t="str">
        <f t="shared" si="27"/>
        <v>Not Overdue</v>
      </c>
      <c r="R390" s="14"/>
    </row>
    <row r="391" spans="1:18" x14ac:dyDescent="0.25">
      <c r="A391" s="18" t="s">
        <v>1208</v>
      </c>
      <c r="B391" s="8" t="s">
        <v>75</v>
      </c>
      <c r="C391" s="8" t="s">
        <v>1209</v>
      </c>
      <c r="D391" s="8" t="s">
        <v>1210</v>
      </c>
      <c r="E391" s="19">
        <v>46176</v>
      </c>
      <c r="F391" s="19">
        <v>46191</v>
      </c>
      <c r="G391" s="8">
        <v>2084.4</v>
      </c>
      <c r="H391" s="8" t="s">
        <v>15</v>
      </c>
      <c r="I391" s="8" t="s">
        <v>16</v>
      </c>
      <c r="J391" s="8" t="s">
        <v>17</v>
      </c>
      <c r="K391" s="8" t="s">
        <v>24</v>
      </c>
      <c r="L391" t="str">
        <f t="shared" si="24"/>
        <v>Unique</v>
      </c>
      <c r="M391" s="8" t="str">
        <f>IF(COUNTIF(Payments_Raw!$B:$B,A391)=0,"Unpaid",IF(N391&gt;=G391,"Paid",IF(N391&gt;0,"Partial Payment",IF(COUNTIFS(Payments_Raw!$B:$B,A391,Payments_Raw!$F:$F,"Failed")&gt;0,"Failed",IF(COUNTIFS(Payments_Raw!$B:$B,A391,Payments_Raw!$F:$F,"Pending")&gt;0,"Pending","Unpaid")))))</f>
        <v>Unpaid</v>
      </c>
      <c r="N391" s="8">
        <f>SUMIFS(Payments_Raw!$E:$E,Payments_Raw!$B:$B,A391,Payments_Raw!$F:$F,"Successful")</f>
        <v>0</v>
      </c>
      <c r="O391" s="26">
        <f t="shared" si="25"/>
        <v>2084.4</v>
      </c>
      <c r="P391" s="9" t="str">
        <f t="shared" si="26"/>
        <v>Unpaid Invoice</v>
      </c>
      <c r="Q391" s="14" t="str">
        <f t="shared" si="27"/>
        <v>Overdue</v>
      </c>
      <c r="R391" s="14"/>
    </row>
    <row r="392" spans="1:18" x14ac:dyDescent="0.25">
      <c r="A392" s="18" t="s">
        <v>1211</v>
      </c>
      <c r="B392" s="8" t="s">
        <v>138</v>
      </c>
      <c r="C392" s="8" t="s">
        <v>1212</v>
      </c>
      <c r="D392" s="8" t="s">
        <v>1213</v>
      </c>
      <c r="E392" s="19">
        <v>46098</v>
      </c>
      <c r="F392" s="19">
        <v>46143</v>
      </c>
      <c r="G392" s="8">
        <v>3112.61</v>
      </c>
      <c r="H392" s="8" t="s">
        <v>15</v>
      </c>
      <c r="I392" s="8" t="s">
        <v>23</v>
      </c>
      <c r="J392" s="8" t="s">
        <v>17</v>
      </c>
      <c r="K392" s="8" t="s">
        <v>18</v>
      </c>
      <c r="L392" t="str">
        <f t="shared" si="24"/>
        <v>Unique</v>
      </c>
      <c r="M392" s="8" t="str">
        <f>IF(COUNTIF(Payments_Raw!$B:$B,A392)=0,"Unpaid",IF(N392&gt;=G392,"Paid",IF(N392&gt;0,"Partial Payment",IF(COUNTIFS(Payments_Raw!$B:$B,A392,Payments_Raw!$F:$F,"Failed")&gt;0,"Failed",IF(COUNTIFS(Payments_Raw!$B:$B,A392,Payments_Raw!$F:$F,"Pending")&gt;0,"Pending","Unpaid")))))</f>
        <v>Paid</v>
      </c>
      <c r="N392" s="8">
        <f>SUMIFS(Payments_Raw!$E:$E,Payments_Raw!$B:$B,A392,Payments_Raw!$F:$F,"Successful")</f>
        <v>3112.61</v>
      </c>
      <c r="O392" s="26">
        <f t="shared" si="25"/>
        <v>0</v>
      </c>
      <c r="P392" s="9" t="str">
        <f t="shared" si="26"/>
        <v>No Exception</v>
      </c>
      <c r="Q392" s="14" t="str">
        <f t="shared" si="27"/>
        <v>Not Overdue</v>
      </c>
      <c r="R392" s="14"/>
    </row>
    <row r="393" spans="1:18" x14ac:dyDescent="0.25">
      <c r="A393" s="18" t="s">
        <v>1214</v>
      </c>
      <c r="B393" s="8" t="s">
        <v>89</v>
      </c>
      <c r="C393" s="8" t="s">
        <v>1215</v>
      </c>
      <c r="D393" s="8" t="s">
        <v>1216</v>
      </c>
      <c r="E393" s="19">
        <v>46239</v>
      </c>
      <c r="F393" s="19">
        <v>46254</v>
      </c>
      <c r="G393" s="8">
        <v>2069.81</v>
      </c>
      <c r="H393" s="8" t="s">
        <v>15</v>
      </c>
      <c r="I393" s="8" t="s">
        <v>16</v>
      </c>
      <c r="J393" s="8" t="s">
        <v>17</v>
      </c>
      <c r="K393" s="8" t="s">
        <v>63</v>
      </c>
      <c r="L393" t="str">
        <f t="shared" si="24"/>
        <v>Unique</v>
      </c>
      <c r="M393" s="8" t="str">
        <f>IF(COUNTIF(Payments_Raw!$B:$B,A393)=0,"Unpaid",IF(N393&gt;=G393,"Paid",IF(N393&gt;0,"Partial Payment",IF(COUNTIFS(Payments_Raw!$B:$B,A393,Payments_Raw!$F:$F,"Failed")&gt;0,"Failed",IF(COUNTIFS(Payments_Raw!$B:$B,A393,Payments_Raw!$F:$F,"Pending")&gt;0,"Pending","Unpaid")))))</f>
        <v>Failed</v>
      </c>
      <c r="N393" s="8">
        <f>SUMIFS(Payments_Raw!$E:$E,Payments_Raw!$B:$B,A393,Payments_Raw!$F:$F,"Successful")</f>
        <v>0</v>
      </c>
      <c r="O393" s="26">
        <f t="shared" si="25"/>
        <v>2069.81</v>
      </c>
      <c r="P393" s="9" t="str">
        <f t="shared" si="26"/>
        <v>Failed Payment</v>
      </c>
      <c r="Q393" s="14" t="str">
        <f t="shared" si="27"/>
        <v>Overdue</v>
      </c>
      <c r="R393" s="14"/>
    </row>
    <row r="394" spans="1:18" x14ac:dyDescent="0.25">
      <c r="A394" s="18" t="s">
        <v>1217</v>
      </c>
      <c r="B394" s="8" t="s">
        <v>26</v>
      </c>
      <c r="C394" s="8" t="s">
        <v>1218</v>
      </c>
      <c r="D394" s="8" t="s">
        <v>1219</v>
      </c>
      <c r="E394" s="19">
        <v>46057</v>
      </c>
      <c r="F394" s="19">
        <v>46087</v>
      </c>
      <c r="G394" s="8">
        <v>2285.2399999999998</v>
      </c>
      <c r="H394" s="8" t="s">
        <v>15</v>
      </c>
      <c r="I394" s="8" t="s">
        <v>23</v>
      </c>
      <c r="J394" s="8" t="s">
        <v>17</v>
      </c>
      <c r="K394" s="8" t="s">
        <v>18</v>
      </c>
      <c r="L394" t="str">
        <f t="shared" si="24"/>
        <v>Unique</v>
      </c>
      <c r="M394" s="8" t="str">
        <f>IF(COUNTIF(Payments_Raw!$B:$B,A394)=0,"Unpaid",IF(N394&gt;=G394,"Paid",IF(N394&gt;0,"Partial Payment",IF(COUNTIFS(Payments_Raw!$B:$B,A394,Payments_Raw!$F:$F,"Failed")&gt;0,"Failed",IF(COUNTIFS(Payments_Raw!$B:$B,A394,Payments_Raw!$F:$F,"Pending")&gt;0,"Pending","Unpaid")))))</f>
        <v>Unpaid</v>
      </c>
      <c r="N394" s="8">
        <f>SUMIFS(Payments_Raw!$E:$E,Payments_Raw!$B:$B,A394,Payments_Raw!$F:$F,"Successful")</f>
        <v>0</v>
      </c>
      <c r="O394" s="26">
        <f t="shared" si="25"/>
        <v>2285.2399999999998</v>
      </c>
      <c r="P394" s="9" t="str">
        <f t="shared" si="26"/>
        <v>Unpaid Invoice</v>
      </c>
      <c r="Q394" s="14" t="str">
        <f t="shared" si="27"/>
        <v>Overdue</v>
      </c>
      <c r="R394" s="14"/>
    </row>
    <row r="395" spans="1:18" x14ac:dyDescent="0.25">
      <c r="A395" s="18" t="s">
        <v>1220</v>
      </c>
      <c r="B395" s="8" t="s">
        <v>138</v>
      </c>
      <c r="C395" s="8" t="s">
        <v>1221</v>
      </c>
      <c r="D395" s="8" t="s">
        <v>1222</v>
      </c>
      <c r="E395" s="19">
        <v>46290</v>
      </c>
      <c r="F395" s="19">
        <v>46335</v>
      </c>
      <c r="G395" s="8">
        <v>19568.34</v>
      </c>
      <c r="H395" s="8" t="s">
        <v>15</v>
      </c>
      <c r="I395" s="8" t="s">
        <v>16</v>
      </c>
      <c r="J395" s="8" t="s">
        <v>17</v>
      </c>
      <c r="K395" s="8" t="s">
        <v>18</v>
      </c>
      <c r="L395" t="str">
        <f t="shared" si="24"/>
        <v>Unique</v>
      </c>
      <c r="M395" s="8" t="str">
        <f>IF(COUNTIF(Payments_Raw!$B:$B,A395)=0,"Unpaid",IF(N395&gt;=G395,"Paid",IF(N395&gt;0,"Partial Payment",IF(COUNTIFS(Payments_Raw!$B:$B,A395,Payments_Raw!$F:$F,"Failed")&gt;0,"Failed",IF(COUNTIFS(Payments_Raw!$B:$B,A395,Payments_Raw!$F:$F,"Pending")&gt;0,"Pending","Unpaid")))))</f>
        <v>Unpaid</v>
      </c>
      <c r="N395" s="8">
        <f>SUMIFS(Payments_Raw!$E:$E,Payments_Raw!$B:$B,A395,Payments_Raw!$F:$F,"Successful")</f>
        <v>0</v>
      </c>
      <c r="O395" s="26">
        <f t="shared" si="25"/>
        <v>19568.34</v>
      </c>
      <c r="P395" s="9" t="str">
        <f t="shared" si="26"/>
        <v>Unpaid Invoice</v>
      </c>
      <c r="Q395" s="14" t="str">
        <f t="shared" si="27"/>
        <v>Overdue</v>
      </c>
      <c r="R395" s="14"/>
    </row>
    <row r="396" spans="1:18" x14ac:dyDescent="0.25">
      <c r="A396" s="18" t="s">
        <v>1223</v>
      </c>
      <c r="B396" s="8" t="s">
        <v>45</v>
      </c>
      <c r="C396" s="8" t="s">
        <v>1224</v>
      </c>
      <c r="D396" s="8" t="s">
        <v>1225</v>
      </c>
      <c r="E396" s="19">
        <v>46074</v>
      </c>
      <c r="F396" s="19">
        <v>46104</v>
      </c>
      <c r="G396" s="8">
        <v>19669.349999999999</v>
      </c>
      <c r="H396" s="8" t="s">
        <v>15</v>
      </c>
      <c r="I396" s="8" t="s">
        <v>16</v>
      </c>
      <c r="J396" s="8" t="s">
        <v>17</v>
      </c>
      <c r="K396" s="8" t="s">
        <v>24</v>
      </c>
      <c r="L396" t="str">
        <f t="shared" si="24"/>
        <v>Unique</v>
      </c>
      <c r="M396" s="8" t="str">
        <f>IF(COUNTIF(Payments_Raw!$B:$B,A396)=0,"Unpaid",IF(N396&gt;=G396,"Paid",IF(N396&gt;0,"Partial Payment",IF(COUNTIFS(Payments_Raw!$B:$B,A396,Payments_Raw!$F:$F,"Failed")&gt;0,"Failed",IF(COUNTIFS(Payments_Raw!$B:$B,A396,Payments_Raw!$F:$F,"Pending")&gt;0,"Pending","Unpaid")))))</f>
        <v>Paid</v>
      </c>
      <c r="N396" s="8">
        <f>SUMIFS(Payments_Raw!$E:$E,Payments_Raw!$B:$B,A396,Payments_Raw!$F:$F,"Successful")</f>
        <v>19669.349999999999</v>
      </c>
      <c r="O396" s="26">
        <f t="shared" si="25"/>
        <v>0</v>
      </c>
      <c r="P396" s="9" t="str">
        <f t="shared" si="26"/>
        <v>No Exception</v>
      </c>
      <c r="Q396" s="14" t="str">
        <f t="shared" si="27"/>
        <v>Not Overdue</v>
      </c>
      <c r="R396" s="14"/>
    </row>
    <row r="397" spans="1:18" x14ac:dyDescent="0.25">
      <c r="A397" s="18" t="s">
        <v>1226</v>
      </c>
      <c r="B397" s="8" t="s">
        <v>138</v>
      </c>
      <c r="C397" s="8" t="s">
        <v>1227</v>
      </c>
      <c r="D397" s="8" t="s">
        <v>1228</v>
      </c>
      <c r="E397" s="19">
        <v>46265</v>
      </c>
      <c r="F397" s="19">
        <v>46310</v>
      </c>
      <c r="G397" s="8">
        <v>1052.1500000000001</v>
      </c>
      <c r="H397" s="8" t="s">
        <v>15</v>
      </c>
      <c r="I397" s="8" t="s">
        <v>16</v>
      </c>
      <c r="J397" s="8" t="s">
        <v>17</v>
      </c>
      <c r="K397" s="8" t="s">
        <v>18</v>
      </c>
      <c r="L397" t="str">
        <f t="shared" si="24"/>
        <v>Unique</v>
      </c>
      <c r="M397" s="8" t="str">
        <f>IF(COUNTIF(Payments_Raw!$B:$B,A397)=0,"Unpaid",IF(N397&gt;=G397,"Paid",IF(N397&gt;0,"Partial Payment",IF(COUNTIFS(Payments_Raw!$B:$B,A397,Payments_Raw!$F:$F,"Failed")&gt;0,"Failed",IF(COUNTIFS(Payments_Raw!$B:$B,A397,Payments_Raw!$F:$F,"Pending")&gt;0,"Pending","Unpaid")))))</f>
        <v>Paid</v>
      </c>
      <c r="N397" s="8">
        <f>SUMIFS(Payments_Raw!$E:$E,Payments_Raw!$B:$B,A397,Payments_Raw!$F:$F,"Successful")</f>
        <v>1052.1500000000001</v>
      </c>
      <c r="O397" s="26">
        <f t="shared" si="25"/>
        <v>0</v>
      </c>
      <c r="P397" s="9" t="str">
        <f t="shared" si="26"/>
        <v>No Exception</v>
      </c>
      <c r="Q397" s="14" t="str">
        <f t="shared" si="27"/>
        <v>Not Overdue</v>
      </c>
      <c r="R397" s="14"/>
    </row>
    <row r="398" spans="1:18" x14ac:dyDescent="0.25">
      <c r="A398" s="18" t="s">
        <v>1229</v>
      </c>
      <c r="B398" s="8" t="s">
        <v>41</v>
      </c>
      <c r="C398" s="8" t="s">
        <v>1230</v>
      </c>
      <c r="D398" s="8" t="s">
        <v>1231</v>
      </c>
      <c r="E398" s="19">
        <v>46192</v>
      </c>
      <c r="F398" s="19">
        <v>46207</v>
      </c>
      <c r="G398" s="8">
        <v>41632.639999999999</v>
      </c>
      <c r="H398" s="8" t="s">
        <v>15</v>
      </c>
      <c r="I398" s="8" t="s">
        <v>29</v>
      </c>
      <c r="J398" s="8" t="s">
        <v>17</v>
      </c>
      <c r="K398" s="8" t="s">
        <v>63</v>
      </c>
      <c r="L398" t="str">
        <f t="shared" si="24"/>
        <v>Unique</v>
      </c>
      <c r="M398" s="8" t="str">
        <f>IF(COUNTIF(Payments_Raw!$B:$B,A398)=0,"Unpaid",IF(N398&gt;=G398,"Paid",IF(N398&gt;0,"Partial Payment",IF(COUNTIFS(Payments_Raw!$B:$B,A398,Payments_Raw!$F:$F,"Failed")&gt;0,"Failed",IF(COUNTIFS(Payments_Raw!$B:$B,A398,Payments_Raw!$F:$F,"Pending")&gt;0,"Pending","Unpaid")))))</f>
        <v>Unpaid</v>
      </c>
      <c r="N398" s="8">
        <f>SUMIFS(Payments_Raw!$E:$E,Payments_Raw!$B:$B,A398,Payments_Raw!$F:$F,"Successful")</f>
        <v>0</v>
      </c>
      <c r="O398" s="26">
        <f t="shared" si="25"/>
        <v>41632.639999999999</v>
      </c>
      <c r="P398" s="9" t="str">
        <f t="shared" si="26"/>
        <v>Unpaid Invoice</v>
      </c>
      <c r="Q398" s="14" t="str">
        <f t="shared" si="27"/>
        <v>Overdue</v>
      </c>
      <c r="R398" s="14"/>
    </row>
    <row r="399" spans="1:18" x14ac:dyDescent="0.25">
      <c r="A399" s="18" t="s">
        <v>1232</v>
      </c>
      <c r="B399" s="8" t="s">
        <v>163</v>
      </c>
      <c r="C399" s="8" t="s">
        <v>1233</v>
      </c>
      <c r="D399" s="8" t="s">
        <v>1234</v>
      </c>
      <c r="E399" s="19">
        <v>46166</v>
      </c>
      <c r="F399" s="19">
        <v>46181</v>
      </c>
      <c r="G399" s="8">
        <v>21090.02</v>
      </c>
      <c r="H399" s="8" t="s">
        <v>15</v>
      </c>
      <c r="I399" s="8" t="s">
        <v>23</v>
      </c>
      <c r="J399" s="8" t="s">
        <v>17</v>
      </c>
      <c r="K399" s="8" t="s">
        <v>63</v>
      </c>
      <c r="L399" t="str">
        <f t="shared" si="24"/>
        <v>Unique</v>
      </c>
      <c r="M399" s="8" t="str">
        <f>IF(COUNTIF(Payments_Raw!$B:$B,A399)=0,"Unpaid",IF(N399&gt;=G399,"Paid",IF(N399&gt;0,"Partial Payment",IF(COUNTIFS(Payments_Raw!$B:$B,A399,Payments_Raw!$F:$F,"Failed")&gt;0,"Failed",IF(COUNTIFS(Payments_Raw!$B:$B,A399,Payments_Raw!$F:$F,"Pending")&gt;0,"Pending","Unpaid")))))</f>
        <v>Pending</v>
      </c>
      <c r="N399" s="8">
        <f>SUMIFS(Payments_Raw!$E:$E,Payments_Raw!$B:$B,A399,Payments_Raw!$F:$F,"Successful")</f>
        <v>0</v>
      </c>
      <c r="O399" s="26">
        <f t="shared" si="25"/>
        <v>21090.02</v>
      </c>
      <c r="P399" s="9" t="str">
        <f t="shared" si="26"/>
        <v>Pending Payment</v>
      </c>
      <c r="Q399" s="14" t="str">
        <f t="shared" si="27"/>
        <v>Overdue</v>
      </c>
      <c r="R399" s="14"/>
    </row>
    <row r="400" spans="1:18" x14ac:dyDescent="0.25">
      <c r="A400" s="18" t="s">
        <v>1235</v>
      </c>
      <c r="B400" s="8" t="s">
        <v>112</v>
      </c>
      <c r="C400" s="8" t="s">
        <v>1236</v>
      </c>
      <c r="D400" s="8" t="s">
        <v>1237</v>
      </c>
      <c r="E400" s="19">
        <v>46187</v>
      </c>
      <c r="F400" s="19">
        <v>46202</v>
      </c>
      <c r="G400" s="8">
        <v>6823.17</v>
      </c>
      <c r="H400" s="8" t="s">
        <v>15</v>
      </c>
      <c r="I400" s="8" t="s">
        <v>29</v>
      </c>
      <c r="J400" s="8" t="s">
        <v>17</v>
      </c>
      <c r="K400" s="8" t="s">
        <v>63</v>
      </c>
      <c r="L400" t="str">
        <f t="shared" si="24"/>
        <v>Unique</v>
      </c>
      <c r="M400" s="8" t="str">
        <f>IF(COUNTIF(Payments_Raw!$B:$B,A400)=0,"Unpaid",IF(N400&gt;=G400,"Paid",IF(N400&gt;0,"Partial Payment",IF(COUNTIFS(Payments_Raw!$B:$B,A400,Payments_Raw!$F:$F,"Failed")&gt;0,"Failed",IF(COUNTIFS(Payments_Raw!$B:$B,A400,Payments_Raw!$F:$F,"Pending")&gt;0,"Pending","Unpaid")))))</f>
        <v>Paid</v>
      </c>
      <c r="N400" s="8">
        <f>SUMIFS(Payments_Raw!$E:$E,Payments_Raw!$B:$B,A400,Payments_Raw!$F:$F,"Successful")</f>
        <v>6823.17</v>
      </c>
      <c r="O400" s="26">
        <f t="shared" si="25"/>
        <v>0</v>
      </c>
      <c r="P400" s="9" t="str">
        <f t="shared" si="26"/>
        <v>No Exception</v>
      </c>
      <c r="Q400" s="14" t="str">
        <f t="shared" si="27"/>
        <v>Not Overdue</v>
      </c>
      <c r="R400" s="14"/>
    </row>
    <row r="401" spans="1:18" x14ac:dyDescent="0.25">
      <c r="A401" s="18" t="s">
        <v>1238</v>
      </c>
      <c r="B401" s="8" t="s">
        <v>75</v>
      </c>
      <c r="C401" s="8" t="s">
        <v>1239</v>
      </c>
      <c r="D401" s="8" t="s">
        <v>1240</v>
      </c>
      <c r="E401" s="19">
        <v>46287</v>
      </c>
      <c r="F401" s="19">
        <v>46302</v>
      </c>
      <c r="G401" s="8">
        <v>21695.66</v>
      </c>
      <c r="H401" s="8" t="s">
        <v>15</v>
      </c>
      <c r="I401" s="8" t="s">
        <v>29</v>
      </c>
      <c r="J401" s="8" t="s">
        <v>17</v>
      </c>
      <c r="K401" s="8" t="s">
        <v>24</v>
      </c>
      <c r="L401" t="str">
        <f t="shared" si="24"/>
        <v>Unique</v>
      </c>
      <c r="M401" s="8" t="str">
        <f>IF(COUNTIF(Payments_Raw!$B:$B,A401)=0,"Unpaid",IF(N401&gt;=G401,"Paid",IF(N401&gt;0,"Partial Payment",IF(COUNTIFS(Payments_Raw!$B:$B,A401,Payments_Raw!$F:$F,"Failed")&gt;0,"Failed",IF(COUNTIFS(Payments_Raw!$B:$B,A401,Payments_Raw!$F:$F,"Pending")&gt;0,"Pending","Unpaid")))))</f>
        <v>Paid</v>
      </c>
      <c r="N401" s="8">
        <f>SUMIFS(Payments_Raw!$E:$E,Payments_Raw!$B:$B,A401,Payments_Raw!$F:$F,"Successful")</f>
        <v>21695.66</v>
      </c>
      <c r="O401" s="26">
        <f t="shared" si="25"/>
        <v>0</v>
      </c>
      <c r="P401" s="9" t="str">
        <f t="shared" si="26"/>
        <v>No Exception</v>
      </c>
      <c r="Q401" s="14" t="str">
        <f t="shared" si="27"/>
        <v>Not Overdue</v>
      </c>
      <c r="R401" s="14"/>
    </row>
    <row r="402" spans="1:18" x14ac:dyDescent="0.25">
      <c r="A402" s="18" t="s">
        <v>1241</v>
      </c>
      <c r="B402" s="8" t="s">
        <v>41</v>
      </c>
      <c r="C402" s="8" t="s">
        <v>1242</v>
      </c>
      <c r="D402" s="8" t="s">
        <v>1243</v>
      </c>
      <c r="E402" s="19">
        <v>46092</v>
      </c>
      <c r="F402" s="19">
        <v>46107</v>
      </c>
      <c r="G402" s="8">
        <v>19539.25</v>
      </c>
      <c r="H402" s="8" t="s">
        <v>15</v>
      </c>
      <c r="I402" s="8" t="s">
        <v>29</v>
      </c>
      <c r="J402" s="8" t="s">
        <v>17</v>
      </c>
      <c r="K402" s="8" t="s">
        <v>18</v>
      </c>
      <c r="L402" t="str">
        <f t="shared" si="24"/>
        <v>Unique</v>
      </c>
      <c r="M402" s="8" t="str">
        <f>IF(COUNTIF(Payments_Raw!$B:$B,A402)=0,"Unpaid",IF(N402&gt;=G402,"Paid",IF(N402&gt;0,"Partial Payment",IF(COUNTIFS(Payments_Raw!$B:$B,A402,Payments_Raw!$F:$F,"Failed")&gt;0,"Failed",IF(COUNTIFS(Payments_Raw!$B:$B,A402,Payments_Raw!$F:$F,"Pending")&gt;0,"Pending","Unpaid")))))</f>
        <v>Partial Payment</v>
      </c>
      <c r="N402" s="8">
        <f>SUMIFS(Payments_Raw!$E:$E,Payments_Raw!$B:$B,A402,Payments_Raw!$F:$F,"Successful")</f>
        <v>17976.11</v>
      </c>
      <c r="O402" s="26">
        <f t="shared" si="25"/>
        <v>1563.1399999999994</v>
      </c>
      <c r="P402" s="9" t="str">
        <f t="shared" si="26"/>
        <v>Amount Mismatch</v>
      </c>
      <c r="Q402" s="14" t="str">
        <f t="shared" si="27"/>
        <v>Overdue</v>
      </c>
      <c r="R402" s="14"/>
    </row>
    <row r="403" spans="1:18" x14ac:dyDescent="0.25">
      <c r="A403" s="18" t="s">
        <v>1244</v>
      </c>
      <c r="B403" s="8" t="s">
        <v>89</v>
      </c>
      <c r="C403" s="8" t="s">
        <v>1245</v>
      </c>
      <c r="D403" s="8" t="s">
        <v>1246</v>
      </c>
      <c r="E403" s="19">
        <v>46150</v>
      </c>
      <c r="F403" s="19">
        <v>46165</v>
      </c>
      <c r="G403" s="8">
        <v>37613.129999999997</v>
      </c>
      <c r="H403" s="8" t="s">
        <v>15</v>
      </c>
      <c r="I403" s="8" t="s">
        <v>16</v>
      </c>
      <c r="J403" s="8" t="s">
        <v>17</v>
      </c>
      <c r="K403" s="8" t="s">
        <v>63</v>
      </c>
      <c r="L403" t="str">
        <f t="shared" si="24"/>
        <v>Unique</v>
      </c>
      <c r="M403" s="8" t="str">
        <f>IF(COUNTIF(Payments_Raw!$B:$B,A403)=0,"Unpaid",IF(N403&gt;=G403,"Paid",IF(N403&gt;0,"Partial Payment",IF(COUNTIFS(Payments_Raw!$B:$B,A403,Payments_Raw!$F:$F,"Failed")&gt;0,"Failed",IF(COUNTIFS(Payments_Raw!$B:$B,A403,Payments_Raw!$F:$F,"Pending")&gt;0,"Pending","Unpaid")))))</f>
        <v>Unpaid</v>
      </c>
      <c r="N403" s="8">
        <f>SUMIFS(Payments_Raw!$E:$E,Payments_Raw!$B:$B,A403,Payments_Raw!$F:$F,"Successful")</f>
        <v>0</v>
      </c>
      <c r="O403" s="26">
        <f t="shared" si="25"/>
        <v>37613.129999999997</v>
      </c>
      <c r="P403" s="9" t="str">
        <f t="shared" si="26"/>
        <v>Unpaid Invoice</v>
      </c>
      <c r="Q403" s="14" t="str">
        <f t="shared" si="27"/>
        <v>Overdue</v>
      </c>
      <c r="R403" s="14"/>
    </row>
    <row r="404" spans="1:18" x14ac:dyDescent="0.25">
      <c r="A404" s="18" t="s">
        <v>1247</v>
      </c>
      <c r="B404" s="8" t="s">
        <v>45</v>
      </c>
      <c r="C404" s="8" t="s">
        <v>1248</v>
      </c>
      <c r="D404" s="8" t="s">
        <v>1249</v>
      </c>
      <c r="E404" s="19">
        <v>46038</v>
      </c>
      <c r="F404" s="19">
        <v>46068</v>
      </c>
      <c r="G404" s="8">
        <v>6139.42</v>
      </c>
      <c r="H404" s="8" t="s">
        <v>15</v>
      </c>
      <c r="I404" s="8" t="s">
        <v>23</v>
      </c>
      <c r="J404" s="8" t="s">
        <v>17</v>
      </c>
      <c r="K404" s="8" t="s">
        <v>24</v>
      </c>
      <c r="L404" t="str">
        <f t="shared" si="24"/>
        <v>Unique</v>
      </c>
      <c r="M404" s="8" t="str">
        <f>IF(COUNTIF(Payments_Raw!$B:$B,A404)=0,"Unpaid",IF(N404&gt;=G404,"Paid",IF(N404&gt;0,"Partial Payment",IF(COUNTIFS(Payments_Raw!$B:$B,A404,Payments_Raw!$F:$F,"Failed")&gt;0,"Failed",IF(COUNTIFS(Payments_Raw!$B:$B,A404,Payments_Raw!$F:$F,"Pending")&gt;0,"Pending","Unpaid")))))</f>
        <v>Paid</v>
      </c>
      <c r="N404" s="8">
        <f>SUMIFS(Payments_Raw!$E:$E,Payments_Raw!$B:$B,A404,Payments_Raw!$F:$F,"Successful")</f>
        <v>6139.42</v>
      </c>
      <c r="O404" s="26">
        <f t="shared" si="25"/>
        <v>0</v>
      </c>
      <c r="P404" s="9" t="str">
        <f t="shared" si="26"/>
        <v>No Exception</v>
      </c>
      <c r="Q404" s="14" t="str">
        <f t="shared" si="27"/>
        <v>Not Overdue</v>
      </c>
      <c r="R404" s="14"/>
    </row>
    <row r="405" spans="1:18" x14ac:dyDescent="0.25">
      <c r="A405" s="18" t="s">
        <v>1250</v>
      </c>
      <c r="B405" s="8" t="s">
        <v>57</v>
      </c>
      <c r="C405" s="8" t="s">
        <v>1251</v>
      </c>
      <c r="D405" s="8" t="s">
        <v>1252</v>
      </c>
      <c r="E405" s="19">
        <v>46199</v>
      </c>
      <c r="F405" s="19">
        <v>46244</v>
      </c>
      <c r="G405" s="8">
        <v>4188.22</v>
      </c>
      <c r="H405" s="8" t="s">
        <v>15</v>
      </c>
      <c r="I405" s="8" t="s">
        <v>29</v>
      </c>
      <c r="J405" s="8" t="s">
        <v>30</v>
      </c>
      <c r="K405" s="8" t="s">
        <v>24</v>
      </c>
      <c r="L405" t="str">
        <f t="shared" si="24"/>
        <v>Unique</v>
      </c>
      <c r="M405" s="8" t="str">
        <f>IF(COUNTIF(Payments_Raw!$B:$B,A405)=0,"Unpaid",IF(N405&gt;=G405,"Paid",IF(N405&gt;0,"Partial Payment",IF(COUNTIFS(Payments_Raw!$B:$B,A405,Payments_Raw!$F:$F,"Failed")&gt;0,"Failed",IF(COUNTIFS(Payments_Raw!$B:$B,A405,Payments_Raw!$F:$F,"Pending")&gt;0,"Pending","Unpaid")))))</f>
        <v>Paid</v>
      </c>
      <c r="N405" s="8">
        <f>SUMIFS(Payments_Raw!$E:$E,Payments_Raw!$B:$B,A405,Payments_Raw!$F:$F,"Successful")</f>
        <v>4188.22</v>
      </c>
      <c r="O405" s="26">
        <f t="shared" si="25"/>
        <v>0</v>
      </c>
      <c r="P405" s="9" t="str">
        <f t="shared" si="26"/>
        <v>No Exception</v>
      </c>
      <c r="Q405" s="14" t="str">
        <f t="shared" si="27"/>
        <v>Not Overdue</v>
      </c>
      <c r="R405" s="14"/>
    </row>
    <row r="406" spans="1:18" x14ac:dyDescent="0.25">
      <c r="A406" s="18" t="s">
        <v>1253</v>
      </c>
      <c r="B406" s="8" t="s">
        <v>53</v>
      </c>
      <c r="C406" s="8" t="s">
        <v>1254</v>
      </c>
      <c r="D406" s="8" t="s">
        <v>1255</v>
      </c>
      <c r="E406" s="19">
        <v>46136</v>
      </c>
      <c r="F406" s="19">
        <v>46166</v>
      </c>
      <c r="G406" s="8">
        <v>16226.81</v>
      </c>
      <c r="H406" s="8" t="s">
        <v>15</v>
      </c>
      <c r="I406" s="8" t="s">
        <v>16</v>
      </c>
      <c r="J406" s="8" t="s">
        <v>30</v>
      </c>
      <c r="K406" s="8" t="s">
        <v>24</v>
      </c>
      <c r="L406" t="str">
        <f t="shared" si="24"/>
        <v>Unique</v>
      </c>
      <c r="M406" s="8" t="str">
        <f>IF(COUNTIF(Payments_Raw!$B:$B,A406)=0,"Unpaid",IF(N406&gt;=G406,"Paid",IF(N406&gt;0,"Partial Payment",IF(COUNTIFS(Payments_Raw!$B:$B,A406,Payments_Raw!$F:$F,"Failed")&gt;0,"Failed",IF(COUNTIFS(Payments_Raw!$B:$B,A406,Payments_Raw!$F:$F,"Pending")&gt;0,"Pending","Unpaid")))))</f>
        <v>Unpaid</v>
      </c>
      <c r="N406" s="8">
        <f>SUMIFS(Payments_Raw!$E:$E,Payments_Raw!$B:$B,A406,Payments_Raw!$F:$F,"Successful")</f>
        <v>0</v>
      </c>
      <c r="O406" s="26">
        <f t="shared" si="25"/>
        <v>16226.81</v>
      </c>
      <c r="P406" s="9" t="str">
        <f t="shared" si="26"/>
        <v>Unpaid Invoice</v>
      </c>
      <c r="Q406" s="14" t="str">
        <f t="shared" si="27"/>
        <v>Overdue</v>
      </c>
      <c r="R406" s="14"/>
    </row>
    <row r="407" spans="1:18" x14ac:dyDescent="0.25">
      <c r="A407" s="18" t="s">
        <v>1256</v>
      </c>
      <c r="B407" s="8" t="s">
        <v>71</v>
      </c>
      <c r="C407" s="8" t="s">
        <v>1257</v>
      </c>
      <c r="D407" s="8" t="s">
        <v>1258</v>
      </c>
      <c r="E407" s="19">
        <v>46265</v>
      </c>
      <c r="F407" s="19">
        <v>46280</v>
      </c>
      <c r="G407" s="8">
        <v>22798.5</v>
      </c>
      <c r="H407" s="8" t="s">
        <v>15</v>
      </c>
      <c r="I407" s="8" t="s">
        <v>29</v>
      </c>
      <c r="J407" s="8" t="s">
        <v>17</v>
      </c>
      <c r="K407" s="8" t="s">
        <v>63</v>
      </c>
      <c r="L407" t="str">
        <f t="shared" si="24"/>
        <v>Unique</v>
      </c>
      <c r="M407" s="8" t="str">
        <f>IF(COUNTIF(Payments_Raw!$B:$B,A407)=0,"Unpaid",IF(N407&gt;=G407,"Paid",IF(N407&gt;0,"Partial Payment",IF(COUNTIFS(Payments_Raw!$B:$B,A407,Payments_Raw!$F:$F,"Failed")&gt;0,"Failed",IF(COUNTIFS(Payments_Raw!$B:$B,A407,Payments_Raw!$F:$F,"Pending")&gt;0,"Pending","Unpaid")))))</f>
        <v>Failed</v>
      </c>
      <c r="N407" s="8">
        <f>SUMIFS(Payments_Raw!$E:$E,Payments_Raw!$B:$B,A407,Payments_Raw!$F:$F,"Successful")</f>
        <v>0</v>
      </c>
      <c r="O407" s="26">
        <f t="shared" si="25"/>
        <v>22798.5</v>
      </c>
      <c r="P407" s="9" t="str">
        <f t="shared" si="26"/>
        <v>Failed Payment</v>
      </c>
      <c r="Q407" s="14" t="str">
        <f t="shared" si="27"/>
        <v>Overdue</v>
      </c>
      <c r="R407" s="14"/>
    </row>
    <row r="408" spans="1:18" x14ac:dyDescent="0.25">
      <c r="A408" s="18" t="s">
        <v>1259</v>
      </c>
      <c r="B408" s="8" t="s">
        <v>49</v>
      </c>
      <c r="C408" s="8" t="s">
        <v>1260</v>
      </c>
      <c r="D408" s="8" t="s">
        <v>1261</v>
      </c>
      <c r="E408" s="19">
        <v>46239</v>
      </c>
      <c r="F408" s="19">
        <v>46269</v>
      </c>
      <c r="G408" s="8">
        <v>22399.62</v>
      </c>
      <c r="H408" s="8" t="s">
        <v>15</v>
      </c>
      <c r="I408" s="8" t="s">
        <v>16</v>
      </c>
      <c r="J408" s="8" t="s">
        <v>17</v>
      </c>
      <c r="K408" s="8" t="s">
        <v>24</v>
      </c>
      <c r="L408" t="str">
        <f t="shared" si="24"/>
        <v>Unique</v>
      </c>
      <c r="M408" s="8" t="str">
        <f>IF(COUNTIF(Payments_Raw!$B:$B,A408)=0,"Unpaid",IF(N408&gt;=G408,"Paid",IF(N408&gt;0,"Partial Payment",IF(COUNTIFS(Payments_Raw!$B:$B,A408,Payments_Raw!$F:$F,"Failed")&gt;0,"Failed",IF(COUNTIFS(Payments_Raw!$B:$B,A408,Payments_Raw!$F:$F,"Pending")&gt;0,"Pending","Unpaid")))))</f>
        <v>Paid</v>
      </c>
      <c r="N408" s="8">
        <f>SUMIFS(Payments_Raw!$E:$E,Payments_Raw!$B:$B,A408,Payments_Raw!$F:$F,"Successful")</f>
        <v>22399.62</v>
      </c>
      <c r="O408" s="26">
        <f t="shared" si="25"/>
        <v>0</v>
      </c>
      <c r="P408" s="9" t="str">
        <f t="shared" si="26"/>
        <v>No Exception</v>
      </c>
      <c r="Q408" s="14" t="str">
        <f t="shared" si="27"/>
        <v>Not Overdue</v>
      </c>
      <c r="R408" s="14"/>
    </row>
    <row r="409" spans="1:18" x14ac:dyDescent="0.25">
      <c r="A409" s="18" t="s">
        <v>1262</v>
      </c>
      <c r="B409" s="8" t="s">
        <v>138</v>
      </c>
      <c r="C409" s="8" t="s">
        <v>1263</v>
      </c>
      <c r="D409" s="8" t="s">
        <v>1264</v>
      </c>
      <c r="E409" s="19">
        <v>46226</v>
      </c>
      <c r="F409" s="19">
        <v>46271</v>
      </c>
      <c r="G409" s="8">
        <v>59980.03</v>
      </c>
      <c r="H409" s="8" t="s">
        <v>15</v>
      </c>
      <c r="I409" s="8" t="s">
        <v>16</v>
      </c>
      <c r="J409" s="8" t="s">
        <v>17</v>
      </c>
      <c r="K409" s="8" t="s">
        <v>63</v>
      </c>
      <c r="L409" t="str">
        <f t="shared" si="24"/>
        <v>Unique</v>
      </c>
      <c r="M409" s="8" t="str">
        <f>IF(COUNTIF(Payments_Raw!$B:$B,A409)=0,"Unpaid",IF(N409&gt;=G409,"Paid",IF(N409&gt;0,"Partial Payment",IF(COUNTIFS(Payments_Raw!$B:$B,A409,Payments_Raw!$F:$F,"Failed")&gt;0,"Failed",IF(COUNTIFS(Payments_Raw!$B:$B,A409,Payments_Raw!$F:$F,"Pending")&gt;0,"Pending","Unpaid")))))</f>
        <v>Paid</v>
      </c>
      <c r="N409" s="8">
        <f>SUMIFS(Payments_Raw!$E:$E,Payments_Raw!$B:$B,A409,Payments_Raw!$F:$F,"Successful")</f>
        <v>59980.03</v>
      </c>
      <c r="O409" s="26">
        <f t="shared" si="25"/>
        <v>0</v>
      </c>
      <c r="P409" s="9" t="str">
        <f t="shared" si="26"/>
        <v>No Exception</v>
      </c>
      <c r="Q409" s="14" t="str">
        <f t="shared" si="27"/>
        <v>Not Overdue</v>
      </c>
      <c r="R409" s="14"/>
    </row>
    <row r="410" spans="1:18" x14ac:dyDescent="0.25">
      <c r="A410" s="18" t="s">
        <v>1265</v>
      </c>
      <c r="B410" s="8" t="s">
        <v>45</v>
      </c>
      <c r="C410" s="8" t="s">
        <v>1266</v>
      </c>
      <c r="D410" s="8" t="s">
        <v>1267</v>
      </c>
      <c r="E410" s="19">
        <v>46269</v>
      </c>
      <c r="F410" s="19">
        <v>46299</v>
      </c>
      <c r="G410" s="8">
        <v>1708.27</v>
      </c>
      <c r="H410" s="8" t="s">
        <v>15</v>
      </c>
      <c r="I410" s="8" t="s">
        <v>23</v>
      </c>
      <c r="J410" s="8" t="s">
        <v>17</v>
      </c>
      <c r="K410" s="8" t="s">
        <v>24</v>
      </c>
      <c r="L410" t="str">
        <f t="shared" si="24"/>
        <v>Unique</v>
      </c>
      <c r="M410" s="8" t="str">
        <f>IF(COUNTIF(Payments_Raw!$B:$B,A410)=0,"Unpaid",IF(N410&gt;=G410,"Paid",IF(N410&gt;0,"Partial Payment",IF(COUNTIFS(Payments_Raw!$B:$B,A410,Payments_Raw!$F:$F,"Failed")&gt;0,"Failed",IF(COUNTIFS(Payments_Raw!$B:$B,A410,Payments_Raw!$F:$F,"Pending")&gt;0,"Pending","Unpaid")))))</f>
        <v>Paid</v>
      </c>
      <c r="N410" s="8">
        <f>SUMIFS(Payments_Raw!$E:$E,Payments_Raw!$B:$B,A410,Payments_Raw!$F:$F,"Successful")</f>
        <v>1708.27</v>
      </c>
      <c r="O410" s="26">
        <f t="shared" si="25"/>
        <v>0</v>
      </c>
      <c r="P410" s="9" t="str">
        <f t="shared" si="26"/>
        <v>No Exception</v>
      </c>
      <c r="Q410" s="14" t="str">
        <f t="shared" si="27"/>
        <v>Not Overdue</v>
      </c>
      <c r="R410" s="14"/>
    </row>
    <row r="411" spans="1:18" x14ac:dyDescent="0.25">
      <c r="A411" s="18" t="s">
        <v>1268</v>
      </c>
      <c r="B411" s="8" t="s">
        <v>163</v>
      </c>
      <c r="C411" s="8" t="s">
        <v>1269</v>
      </c>
      <c r="D411" s="8" t="s">
        <v>1270</v>
      </c>
      <c r="E411" s="19">
        <v>46119</v>
      </c>
      <c r="F411" s="19">
        <v>46134</v>
      </c>
      <c r="G411" s="8">
        <v>3850.24</v>
      </c>
      <c r="H411" s="8" t="s">
        <v>15</v>
      </c>
      <c r="I411" s="8" t="s">
        <v>23</v>
      </c>
      <c r="J411" s="8" t="s">
        <v>17</v>
      </c>
      <c r="K411" s="8" t="s">
        <v>63</v>
      </c>
      <c r="L411" t="str">
        <f t="shared" si="24"/>
        <v>Unique</v>
      </c>
      <c r="M411" s="8" t="str">
        <f>IF(COUNTIF(Payments_Raw!$B:$B,A411)=0,"Unpaid",IF(N411&gt;=G411,"Paid",IF(N411&gt;0,"Partial Payment",IF(COUNTIFS(Payments_Raw!$B:$B,A411,Payments_Raw!$F:$F,"Failed")&gt;0,"Failed",IF(COUNTIFS(Payments_Raw!$B:$B,A411,Payments_Raw!$F:$F,"Pending")&gt;0,"Pending","Unpaid")))))</f>
        <v>Paid</v>
      </c>
      <c r="N411" s="8">
        <f>SUMIFS(Payments_Raw!$E:$E,Payments_Raw!$B:$B,A411,Payments_Raw!$F:$F,"Successful")</f>
        <v>3850.24</v>
      </c>
      <c r="O411" s="26">
        <f t="shared" si="25"/>
        <v>0</v>
      </c>
      <c r="P411" s="9" t="str">
        <f t="shared" si="26"/>
        <v>No Exception</v>
      </c>
      <c r="Q411" s="14" t="str">
        <f t="shared" si="27"/>
        <v>Not Overdue</v>
      </c>
      <c r="R411" s="14"/>
    </row>
    <row r="412" spans="1:18" x14ac:dyDescent="0.25">
      <c r="A412" s="18" t="s">
        <v>1271</v>
      </c>
      <c r="B412" s="8" t="s">
        <v>26</v>
      </c>
      <c r="C412" s="8" t="s">
        <v>1272</v>
      </c>
      <c r="D412" s="8" t="s">
        <v>1273</v>
      </c>
      <c r="E412" s="19">
        <v>46094</v>
      </c>
      <c r="F412" s="19">
        <v>46124</v>
      </c>
      <c r="G412" s="8">
        <v>18065.53</v>
      </c>
      <c r="H412" s="8" t="s">
        <v>15</v>
      </c>
      <c r="I412" s="8" t="s">
        <v>23</v>
      </c>
      <c r="J412" s="8" t="s">
        <v>17</v>
      </c>
      <c r="K412" s="8" t="s">
        <v>24</v>
      </c>
      <c r="L412" t="str">
        <f t="shared" si="24"/>
        <v>Unique</v>
      </c>
      <c r="M412" s="8" t="str">
        <f>IF(COUNTIF(Payments_Raw!$B:$B,A412)=0,"Unpaid",IF(N412&gt;=G412,"Paid",IF(N412&gt;0,"Partial Payment",IF(COUNTIFS(Payments_Raw!$B:$B,A412,Payments_Raw!$F:$F,"Failed")&gt;0,"Failed",IF(COUNTIFS(Payments_Raw!$B:$B,A412,Payments_Raw!$F:$F,"Pending")&gt;0,"Pending","Unpaid")))))</f>
        <v>Unpaid</v>
      </c>
      <c r="N412" s="8">
        <f>SUMIFS(Payments_Raw!$E:$E,Payments_Raw!$B:$B,A412,Payments_Raw!$F:$F,"Successful")</f>
        <v>0</v>
      </c>
      <c r="O412" s="26">
        <f t="shared" si="25"/>
        <v>18065.53</v>
      </c>
      <c r="P412" s="9" t="str">
        <f t="shared" si="26"/>
        <v>Unpaid Invoice</v>
      </c>
      <c r="Q412" s="14" t="str">
        <f t="shared" si="27"/>
        <v>Overdue</v>
      </c>
      <c r="R412" s="14"/>
    </row>
    <row r="413" spans="1:18" x14ac:dyDescent="0.25">
      <c r="A413" s="18" t="s">
        <v>1274</v>
      </c>
      <c r="B413" s="8" t="s">
        <v>89</v>
      </c>
      <c r="C413" s="8" t="s">
        <v>1275</v>
      </c>
      <c r="D413" s="8" t="s">
        <v>1276</v>
      </c>
      <c r="E413" s="19">
        <v>46120</v>
      </c>
      <c r="F413" s="19">
        <v>46135</v>
      </c>
      <c r="G413" s="8">
        <v>8658</v>
      </c>
      <c r="H413" s="8" t="s">
        <v>15</v>
      </c>
      <c r="I413" s="8" t="s">
        <v>16</v>
      </c>
      <c r="J413" s="8" t="s">
        <v>17</v>
      </c>
      <c r="K413" s="8" t="s">
        <v>24</v>
      </c>
      <c r="L413" t="str">
        <f t="shared" si="24"/>
        <v>Unique</v>
      </c>
      <c r="M413" s="8" t="str">
        <f>IF(COUNTIF(Payments_Raw!$B:$B,A413)=0,"Unpaid",IF(N413&gt;=G413,"Paid",IF(N413&gt;0,"Partial Payment",IF(COUNTIFS(Payments_Raw!$B:$B,A413,Payments_Raw!$F:$F,"Failed")&gt;0,"Failed",IF(COUNTIFS(Payments_Raw!$B:$B,A413,Payments_Raw!$F:$F,"Pending")&gt;0,"Pending","Unpaid")))))</f>
        <v>Unpaid</v>
      </c>
      <c r="N413" s="8">
        <f>SUMIFS(Payments_Raw!$E:$E,Payments_Raw!$B:$B,A413,Payments_Raw!$F:$F,"Successful")</f>
        <v>0</v>
      </c>
      <c r="O413" s="26">
        <f t="shared" si="25"/>
        <v>8658</v>
      </c>
      <c r="P413" s="9" t="str">
        <f t="shared" si="26"/>
        <v>Unpaid Invoice</v>
      </c>
      <c r="Q413" s="14" t="str">
        <f t="shared" si="27"/>
        <v>Overdue</v>
      </c>
      <c r="R413" s="14"/>
    </row>
    <row r="414" spans="1:18" x14ac:dyDescent="0.25">
      <c r="A414" s="18" t="s">
        <v>1277</v>
      </c>
      <c r="B414" s="8" t="s">
        <v>57</v>
      </c>
      <c r="C414" s="8" t="s">
        <v>1278</v>
      </c>
      <c r="D414" s="8" t="s">
        <v>1279</v>
      </c>
      <c r="E414" s="19">
        <v>46282</v>
      </c>
      <c r="F414" s="19">
        <v>46327</v>
      </c>
      <c r="G414" s="8">
        <v>7588.85</v>
      </c>
      <c r="H414" s="8" t="s">
        <v>15</v>
      </c>
      <c r="I414" s="8" t="s">
        <v>29</v>
      </c>
      <c r="J414" s="8" t="s">
        <v>30</v>
      </c>
      <c r="K414" s="8" t="s">
        <v>18</v>
      </c>
      <c r="L414" t="str">
        <f t="shared" si="24"/>
        <v>Unique</v>
      </c>
      <c r="M414" s="8" t="str">
        <f>IF(COUNTIF(Payments_Raw!$B:$B,A414)=0,"Unpaid",IF(N414&gt;=G414,"Paid",IF(N414&gt;0,"Partial Payment",IF(COUNTIFS(Payments_Raw!$B:$B,A414,Payments_Raw!$F:$F,"Failed")&gt;0,"Failed",IF(COUNTIFS(Payments_Raw!$B:$B,A414,Payments_Raw!$F:$F,"Pending")&gt;0,"Pending","Unpaid")))))</f>
        <v>Paid</v>
      </c>
      <c r="N414" s="8">
        <f>SUMIFS(Payments_Raw!$E:$E,Payments_Raw!$B:$B,A414,Payments_Raw!$F:$F,"Successful")</f>
        <v>7588.85</v>
      </c>
      <c r="O414" s="26">
        <f t="shared" si="25"/>
        <v>0</v>
      </c>
      <c r="P414" s="9" t="str">
        <f t="shared" si="26"/>
        <v>No Exception</v>
      </c>
      <c r="Q414" s="14" t="str">
        <f t="shared" si="27"/>
        <v>Not Overdue</v>
      </c>
      <c r="R414" s="14"/>
    </row>
    <row r="415" spans="1:18" x14ac:dyDescent="0.25">
      <c r="A415" s="18" t="s">
        <v>1280</v>
      </c>
      <c r="B415" s="8" t="s">
        <v>49</v>
      </c>
      <c r="C415" s="8" t="s">
        <v>1281</v>
      </c>
      <c r="D415" s="8" t="s">
        <v>1282</v>
      </c>
      <c r="E415" s="19">
        <v>46116</v>
      </c>
      <c r="F415" s="19">
        <v>46146</v>
      </c>
      <c r="G415" s="8">
        <v>23679.45</v>
      </c>
      <c r="H415" s="8" t="s">
        <v>15</v>
      </c>
      <c r="I415" s="8" t="s">
        <v>16</v>
      </c>
      <c r="J415" s="8" t="s">
        <v>17</v>
      </c>
      <c r="K415" s="8" t="s">
        <v>63</v>
      </c>
      <c r="L415" t="str">
        <f t="shared" si="24"/>
        <v>Unique</v>
      </c>
      <c r="M415" s="8" t="str">
        <f>IF(COUNTIF(Payments_Raw!$B:$B,A415)=0,"Unpaid",IF(N415&gt;=G415,"Paid",IF(N415&gt;0,"Partial Payment",IF(COUNTIFS(Payments_Raw!$B:$B,A415,Payments_Raw!$F:$F,"Failed")&gt;0,"Failed",IF(COUNTIFS(Payments_Raw!$B:$B,A415,Payments_Raw!$F:$F,"Pending")&gt;0,"Pending","Unpaid")))))</f>
        <v>Pending</v>
      </c>
      <c r="N415" s="8">
        <f>SUMIFS(Payments_Raw!$E:$E,Payments_Raw!$B:$B,A415,Payments_Raw!$F:$F,"Successful")</f>
        <v>0</v>
      </c>
      <c r="O415" s="26">
        <f t="shared" si="25"/>
        <v>23679.45</v>
      </c>
      <c r="P415" s="9" t="str">
        <f t="shared" si="26"/>
        <v>Pending Payment</v>
      </c>
      <c r="Q415" s="14" t="str">
        <f t="shared" si="27"/>
        <v>Overdue</v>
      </c>
      <c r="R415" s="14"/>
    </row>
    <row r="416" spans="1:18" x14ac:dyDescent="0.25">
      <c r="A416" s="18" t="s">
        <v>1283</v>
      </c>
      <c r="B416" s="8" t="s">
        <v>85</v>
      </c>
      <c r="C416" s="8" t="s">
        <v>1284</v>
      </c>
      <c r="D416" s="8" t="s">
        <v>1285</v>
      </c>
      <c r="E416" s="19">
        <v>46192</v>
      </c>
      <c r="F416" s="19">
        <v>46237</v>
      </c>
      <c r="G416" s="8">
        <v>9367.4599999999991</v>
      </c>
      <c r="H416" s="8" t="s">
        <v>15</v>
      </c>
      <c r="I416" s="8" t="s">
        <v>29</v>
      </c>
      <c r="J416" s="8" t="s">
        <v>30</v>
      </c>
      <c r="K416" s="8" t="s">
        <v>24</v>
      </c>
      <c r="L416" t="str">
        <f t="shared" si="24"/>
        <v>Unique</v>
      </c>
      <c r="M416" s="8" t="str">
        <f>IF(COUNTIF(Payments_Raw!$B:$B,A416)=0,"Unpaid",IF(N416&gt;=G416,"Paid",IF(N416&gt;0,"Partial Payment",IF(COUNTIFS(Payments_Raw!$B:$B,A416,Payments_Raw!$F:$F,"Failed")&gt;0,"Failed",IF(COUNTIFS(Payments_Raw!$B:$B,A416,Payments_Raw!$F:$F,"Pending")&gt;0,"Pending","Unpaid")))))</f>
        <v>Failed</v>
      </c>
      <c r="N416" s="8">
        <f>SUMIFS(Payments_Raw!$E:$E,Payments_Raw!$B:$B,A416,Payments_Raw!$F:$F,"Successful")</f>
        <v>0</v>
      </c>
      <c r="O416" s="26">
        <f t="shared" si="25"/>
        <v>9367.4599999999991</v>
      </c>
      <c r="P416" s="9" t="str">
        <f t="shared" si="26"/>
        <v>Failed Payment</v>
      </c>
      <c r="Q416" s="14" t="str">
        <f t="shared" si="27"/>
        <v>Overdue</v>
      </c>
      <c r="R416" s="14"/>
    </row>
    <row r="417" spans="1:18" x14ac:dyDescent="0.25">
      <c r="A417" s="18" t="s">
        <v>1286</v>
      </c>
      <c r="B417" s="8" t="s">
        <v>170</v>
      </c>
      <c r="C417" s="8" t="s">
        <v>1287</v>
      </c>
      <c r="D417" s="8" t="s">
        <v>1288</v>
      </c>
      <c r="E417" s="19">
        <v>46059</v>
      </c>
      <c r="F417" s="19">
        <v>46089</v>
      </c>
      <c r="G417" s="8">
        <v>11868.83</v>
      </c>
      <c r="H417" s="8" t="s">
        <v>15</v>
      </c>
      <c r="I417" s="8" t="s">
        <v>16</v>
      </c>
      <c r="J417" s="8" t="s">
        <v>17</v>
      </c>
      <c r="K417" s="8" t="s">
        <v>18</v>
      </c>
      <c r="L417" t="str">
        <f t="shared" si="24"/>
        <v>Duplicate</v>
      </c>
      <c r="M417" s="8" t="str">
        <f>IF(COUNTIF(Payments_Raw!$B:$B,A417)=0,"Unpaid",IF(N417&gt;=G417,"Paid",IF(N417&gt;0,"Partial Payment",IF(COUNTIFS(Payments_Raw!$B:$B,A417,Payments_Raw!$F:$F,"Failed")&gt;0,"Failed",IF(COUNTIFS(Payments_Raw!$B:$B,A417,Payments_Raw!$F:$F,"Pending")&gt;0,"Pending","Unpaid")))))</f>
        <v>Paid</v>
      </c>
      <c r="N417" s="8">
        <f>SUMIFS(Payments_Raw!$E:$E,Payments_Raw!$B:$B,A417,Payments_Raw!$F:$F,"Successful")</f>
        <v>11868.83</v>
      </c>
      <c r="O417" s="26">
        <f t="shared" si="25"/>
        <v>0</v>
      </c>
      <c r="P417" s="9" t="str">
        <f t="shared" si="26"/>
        <v>Duplicate Invoice</v>
      </c>
      <c r="Q417" s="14" t="str">
        <f t="shared" si="27"/>
        <v>Not Overdue</v>
      </c>
      <c r="R417" s="14"/>
    </row>
    <row r="418" spans="1:18" x14ac:dyDescent="0.25">
      <c r="A418" s="18" t="s">
        <v>1289</v>
      </c>
      <c r="B418" s="8" t="s">
        <v>122</v>
      </c>
      <c r="C418" s="8" t="s">
        <v>1290</v>
      </c>
      <c r="D418" s="8" t="s">
        <v>1291</v>
      </c>
      <c r="E418" s="19">
        <v>46093</v>
      </c>
      <c r="F418" s="19">
        <v>46108</v>
      </c>
      <c r="G418" s="8">
        <v>24809.61</v>
      </c>
      <c r="H418" s="8" t="s">
        <v>15</v>
      </c>
      <c r="I418" s="8" t="s">
        <v>29</v>
      </c>
      <c r="J418" s="8" t="s">
        <v>17</v>
      </c>
      <c r="K418" s="8" t="s">
        <v>18</v>
      </c>
      <c r="L418" t="str">
        <f t="shared" si="24"/>
        <v>Unique</v>
      </c>
      <c r="M418" s="8" t="str">
        <f>IF(COUNTIF(Payments_Raw!$B:$B,A418)=0,"Unpaid",IF(N418&gt;=G418,"Paid",IF(N418&gt;0,"Partial Payment",IF(COUNTIFS(Payments_Raw!$B:$B,A418,Payments_Raw!$F:$F,"Failed")&gt;0,"Failed",IF(COUNTIFS(Payments_Raw!$B:$B,A418,Payments_Raw!$F:$F,"Pending")&gt;0,"Pending","Unpaid")))))</f>
        <v>Paid</v>
      </c>
      <c r="N418" s="8">
        <f>SUMIFS(Payments_Raw!$E:$E,Payments_Raw!$B:$B,A418,Payments_Raw!$F:$F,"Successful")</f>
        <v>24809.61</v>
      </c>
      <c r="O418" s="26">
        <f t="shared" si="25"/>
        <v>0</v>
      </c>
      <c r="P418" s="9" t="str">
        <f t="shared" si="26"/>
        <v>No Exception</v>
      </c>
      <c r="Q418" s="14" t="str">
        <f t="shared" si="27"/>
        <v>Not Overdue</v>
      </c>
      <c r="R418" s="14"/>
    </row>
    <row r="419" spans="1:18" x14ac:dyDescent="0.25">
      <c r="A419" s="18" t="s">
        <v>1292</v>
      </c>
      <c r="B419" s="8" t="s">
        <v>102</v>
      </c>
      <c r="C419" s="8" t="s">
        <v>1293</v>
      </c>
      <c r="D419" s="8" t="s">
        <v>1294</v>
      </c>
      <c r="E419" s="19">
        <v>46272</v>
      </c>
      <c r="F419" s="19">
        <v>46317</v>
      </c>
      <c r="G419" s="8">
        <v>8395.82</v>
      </c>
      <c r="H419" s="8" t="s">
        <v>15</v>
      </c>
      <c r="I419" s="8" t="s">
        <v>29</v>
      </c>
      <c r="J419" s="8" t="s">
        <v>17</v>
      </c>
      <c r="K419" s="8" t="s">
        <v>18</v>
      </c>
      <c r="L419" t="str">
        <f t="shared" si="24"/>
        <v>Unique</v>
      </c>
      <c r="M419" s="8" t="str">
        <f>IF(COUNTIF(Payments_Raw!$B:$B,A419)=0,"Unpaid",IF(N419&gt;=G419,"Paid",IF(N419&gt;0,"Partial Payment",IF(COUNTIFS(Payments_Raw!$B:$B,A419,Payments_Raw!$F:$F,"Failed")&gt;0,"Failed",IF(COUNTIFS(Payments_Raw!$B:$B,A419,Payments_Raw!$F:$F,"Pending")&gt;0,"Pending","Unpaid")))))</f>
        <v>Paid</v>
      </c>
      <c r="N419" s="8">
        <f>SUMIFS(Payments_Raw!$E:$E,Payments_Raw!$B:$B,A419,Payments_Raw!$F:$F,"Successful")</f>
        <v>8395.82</v>
      </c>
      <c r="O419" s="26">
        <f t="shared" si="25"/>
        <v>0</v>
      </c>
      <c r="P419" s="9" t="str">
        <f t="shared" si="26"/>
        <v>No Exception</v>
      </c>
      <c r="Q419" s="14" t="str">
        <f t="shared" si="27"/>
        <v>Not Overdue</v>
      </c>
      <c r="R419" s="14"/>
    </row>
    <row r="420" spans="1:18" x14ac:dyDescent="0.25">
      <c r="A420" s="18" t="s">
        <v>1295</v>
      </c>
      <c r="B420" s="8" t="s">
        <v>12</v>
      </c>
      <c r="C420" s="8" t="s">
        <v>1296</v>
      </c>
      <c r="D420" s="8" t="s">
        <v>1297</v>
      </c>
      <c r="E420" s="19">
        <v>46104</v>
      </c>
      <c r="F420" s="19">
        <v>46119</v>
      </c>
      <c r="G420" s="8">
        <v>12300.68</v>
      </c>
      <c r="H420" s="8" t="s">
        <v>15</v>
      </c>
      <c r="I420" s="8" t="s">
        <v>16</v>
      </c>
      <c r="J420" s="8" t="s">
        <v>17</v>
      </c>
      <c r="K420" s="8" t="s">
        <v>63</v>
      </c>
      <c r="L420" t="str">
        <f t="shared" si="24"/>
        <v>Duplicate</v>
      </c>
      <c r="M420" s="8" t="str">
        <f>IF(COUNTIF(Payments_Raw!$B:$B,A420)=0,"Unpaid",IF(N420&gt;=G420,"Paid",IF(N420&gt;0,"Partial Payment",IF(COUNTIFS(Payments_Raw!$B:$B,A420,Payments_Raw!$F:$F,"Failed")&gt;0,"Failed",IF(COUNTIFS(Payments_Raw!$B:$B,A420,Payments_Raw!$F:$F,"Pending")&gt;0,"Pending","Unpaid")))))</f>
        <v>Paid</v>
      </c>
      <c r="N420" s="8">
        <f>SUMIFS(Payments_Raw!$E:$E,Payments_Raw!$B:$B,A420,Payments_Raw!$F:$F,"Successful")</f>
        <v>12300.68</v>
      </c>
      <c r="O420" s="26">
        <f t="shared" si="25"/>
        <v>0</v>
      </c>
      <c r="P420" s="9" t="str">
        <f t="shared" si="26"/>
        <v>Duplicate Invoice</v>
      </c>
      <c r="Q420" s="14" t="str">
        <f t="shared" si="27"/>
        <v>Not Overdue</v>
      </c>
      <c r="R420" s="14"/>
    </row>
    <row r="421" spans="1:18" x14ac:dyDescent="0.25">
      <c r="A421" s="18" t="s">
        <v>1298</v>
      </c>
      <c r="B421" s="8" t="s">
        <v>85</v>
      </c>
      <c r="C421" s="8" t="s">
        <v>1299</v>
      </c>
      <c r="D421" s="8" t="s">
        <v>1300</v>
      </c>
      <c r="E421" s="19">
        <v>46267</v>
      </c>
      <c r="F421" s="19">
        <v>46312</v>
      </c>
      <c r="G421" s="8">
        <v>31979.5</v>
      </c>
      <c r="H421" s="8" t="s">
        <v>15</v>
      </c>
      <c r="I421" s="8" t="s">
        <v>23</v>
      </c>
      <c r="J421" s="8" t="s">
        <v>17</v>
      </c>
      <c r="K421" s="8" t="s">
        <v>24</v>
      </c>
      <c r="L421" t="str">
        <f t="shared" si="24"/>
        <v>Unique</v>
      </c>
      <c r="M421" s="8" t="str">
        <f>IF(COUNTIF(Payments_Raw!$B:$B,A421)=0,"Unpaid",IF(N421&gt;=G421,"Paid",IF(N421&gt;0,"Partial Payment",IF(COUNTIFS(Payments_Raw!$B:$B,A421,Payments_Raw!$F:$F,"Failed")&gt;0,"Failed",IF(COUNTIFS(Payments_Raw!$B:$B,A421,Payments_Raw!$F:$F,"Pending")&gt;0,"Pending","Unpaid")))))</f>
        <v>Failed</v>
      </c>
      <c r="N421" s="8">
        <f>SUMIFS(Payments_Raw!$E:$E,Payments_Raw!$B:$B,A421,Payments_Raw!$F:$F,"Successful")</f>
        <v>0</v>
      </c>
      <c r="O421" s="26">
        <f t="shared" si="25"/>
        <v>31979.5</v>
      </c>
      <c r="P421" s="9" t="str">
        <f t="shared" si="26"/>
        <v>Failed Payment</v>
      </c>
      <c r="Q421" s="14" t="str">
        <f t="shared" si="27"/>
        <v>Overdue</v>
      </c>
      <c r="R421" s="14"/>
    </row>
    <row r="422" spans="1:18" x14ac:dyDescent="0.25">
      <c r="A422" s="18" t="s">
        <v>1301</v>
      </c>
      <c r="B422" s="8" t="s">
        <v>53</v>
      </c>
      <c r="C422" s="8" t="s">
        <v>1302</v>
      </c>
      <c r="D422" s="8" t="s">
        <v>1303</v>
      </c>
      <c r="E422" s="19">
        <v>46032</v>
      </c>
      <c r="F422" s="19">
        <v>46062</v>
      </c>
      <c r="G422" s="8">
        <v>16957.490000000002</v>
      </c>
      <c r="H422" s="8" t="s">
        <v>15</v>
      </c>
      <c r="I422" s="8" t="s">
        <v>39</v>
      </c>
      <c r="J422" s="8" t="s">
        <v>17</v>
      </c>
      <c r="K422" s="8" t="s">
        <v>18</v>
      </c>
      <c r="L422" t="str">
        <f t="shared" si="24"/>
        <v>Unique</v>
      </c>
      <c r="M422" s="8" t="str">
        <f>IF(COUNTIF(Payments_Raw!$B:$B,A422)=0,"Unpaid",IF(N422&gt;=G422,"Paid",IF(N422&gt;0,"Partial Payment",IF(COUNTIFS(Payments_Raw!$B:$B,A422,Payments_Raw!$F:$F,"Failed")&gt;0,"Failed",IF(COUNTIFS(Payments_Raw!$B:$B,A422,Payments_Raw!$F:$F,"Pending")&gt;0,"Pending","Unpaid")))))</f>
        <v>Unpaid</v>
      </c>
      <c r="N422" s="8">
        <f>SUMIFS(Payments_Raw!$E:$E,Payments_Raw!$B:$B,A422,Payments_Raw!$F:$F,"Successful")</f>
        <v>0</v>
      </c>
      <c r="O422" s="26">
        <f t="shared" si="25"/>
        <v>16957.490000000002</v>
      </c>
      <c r="P422" s="9" t="str">
        <f t="shared" si="26"/>
        <v>Unpaid Invoice</v>
      </c>
      <c r="Q422" s="14" t="str">
        <f t="shared" si="27"/>
        <v>Overdue</v>
      </c>
      <c r="R422" s="14"/>
    </row>
    <row r="423" spans="1:18" x14ac:dyDescent="0.25">
      <c r="A423" s="18" t="s">
        <v>1304</v>
      </c>
      <c r="B423" s="8" t="s">
        <v>45</v>
      </c>
      <c r="C423" s="8" t="s">
        <v>1305</v>
      </c>
      <c r="D423" s="8" t="s">
        <v>1306</v>
      </c>
      <c r="E423" s="19">
        <v>46219</v>
      </c>
      <c r="F423" s="19">
        <v>46249</v>
      </c>
      <c r="G423" s="8">
        <v>12643.01</v>
      </c>
      <c r="H423" s="8" t="s">
        <v>15</v>
      </c>
      <c r="I423" s="8" t="s">
        <v>29</v>
      </c>
      <c r="J423" s="8" t="s">
        <v>17</v>
      </c>
      <c r="K423" s="8" t="s">
        <v>63</v>
      </c>
      <c r="L423" t="str">
        <f t="shared" si="24"/>
        <v>Unique</v>
      </c>
      <c r="M423" s="8" t="str">
        <f>IF(COUNTIF(Payments_Raw!$B:$B,A423)=0,"Unpaid",IF(N423&gt;=G423,"Paid",IF(N423&gt;0,"Partial Payment",IF(COUNTIFS(Payments_Raw!$B:$B,A423,Payments_Raw!$F:$F,"Failed")&gt;0,"Failed",IF(COUNTIFS(Payments_Raw!$B:$B,A423,Payments_Raw!$F:$F,"Pending")&gt;0,"Pending","Unpaid")))))</f>
        <v>Pending</v>
      </c>
      <c r="N423" s="8">
        <f>SUMIFS(Payments_Raw!$E:$E,Payments_Raw!$B:$B,A423,Payments_Raw!$F:$F,"Successful")</f>
        <v>0</v>
      </c>
      <c r="O423" s="26">
        <f t="shared" si="25"/>
        <v>12643.01</v>
      </c>
      <c r="P423" s="9" t="str">
        <f t="shared" si="26"/>
        <v>Pending Payment</v>
      </c>
      <c r="Q423" s="14" t="str">
        <f t="shared" si="27"/>
        <v>Overdue</v>
      </c>
      <c r="R423" s="14"/>
    </row>
    <row r="424" spans="1:18" x14ac:dyDescent="0.25">
      <c r="A424" s="18" t="s">
        <v>1307</v>
      </c>
      <c r="B424" s="8" t="s">
        <v>36</v>
      </c>
      <c r="C424" s="8" t="s">
        <v>1308</v>
      </c>
      <c r="D424" s="8" t="s">
        <v>1309</v>
      </c>
      <c r="E424" s="19">
        <v>46291</v>
      </c>
      <c r="F424" s="19">
        <v>46321</v>
      </c>
      <c r="G424" s="8">
        <v>8525.34</v>
      </c>
      <c r="H424" s="8" t="s">
        <v>15</v>
      </c>
      <c r="I424" s="8" t="s">
        <v>23</v>
      </c>
      <c r="J424" s="8" t="s">
        <v>17</v>
      </c>
      <c r="K424" s="8" t="s">
        <v>18</v>
      </c>
      <c r="L424" t="str">
        <f t="shared" si="24"/>
        <v>Unique</v>
      </c>
      <c r="M424" s="8" t="str">
        <f>IF(COUNTIF(Payments_Raw!$B:$B,A424)=0,"Unpaid",IF(N424&gt;=G424,"Paid",IF(N424&gt;0,"Partial Payment",IF(COUNTIFS(Payments_Raw!$B:$B,A424,Payments_Raw!$F:$F,"Failed")&gt;0,"Failed",IF(COUNTIFS(Payments_Raw!$B:$B,A424,Payments_Raw!$F:$F,"Pending")&gt;0,"Pending","Unpaid")))))</f>
        <v>Paid</v>
      </c>
      <c r="N424" s="8">
        <f>SUMIFS(Payments_Raw!$E:$E,Payments_Raw!$B:$B,A424,Payments_Raw!$F:$F,"Successful")</f>
        <v>8525.34</v>
      </c>
      <c r="O424" s="26">
        <f t="shared" si="25"/>
        <v>0</v>
      </c>
      <c r="P424" s="9" t="str">
        <f t="shared" si="26"/>
        <v>No Exception</v>
      </c>
      <c r="Q424" s="14" t="str">
        <f t="shared" si="27"/>
        <v>Not Overdue</v>
      </c>
      <c r="R424" s="14"/>
    </row>
    <row r="425" spans="1:18" x14ac:dyDescent="0.25">
      <c r="A425" s="18" t="s">
        <v>1310</v>
      </c>
      <c r="B425" s="8" t="s">
        <v>12</v>
      </c>
      <c r="C425" s="8" t="s">
        <v>1311</v>
      </c>
      <c r="D425" s="8" t="s">
        <v>1312</v>
      </c>
      <c r="E425" s="19">
        <v>46229</v>
      </c>
      <c r="F425" s="19">
        <v>46244</v>
      </c>
      <c r="G425" s="8">
        <v>595.82000000000005</v>
      </c>
      <c r="H425" s="8" t="s">
        <v>15</v>
      </c>
      <c r="I425" s="8" t="s">
        <v>39</v>
      </c>
      <c r="J425" s="8" t="s">
        <v>17</v>
      </c>
      <c r="K425" s="8" t="s">
        <v>18</v>
      </c>
      <c r="L425" t="str">
        <f t="shared" si="24"/>
        <v>Unique</v>
      </c>
      <c r="M425" s="8" t="str">
        <f>IF(COUNTIF(Payments_Raw!$B:$B,A425)=0,"Unpaid",IF(N425&gt;=G425,"Paid",IF(N425&gt;0,"Partial Payment",IF(COUNTIFS(Payments_Raw!$B:$B,A425,Payments_Raw!$F:$F,"Failed")&gt;0,"Failed",IF(COUNTIFS(Payments_Raw!$B:$B,A425,Payments_Raw!$F:$F,"Pending")&gt;0,"Pending","Unpaid")))))</f>
        <v>Unpaid</v>
      </c>
      <c r="N425" s="8">
        <f>SUMIFS(Payments_Raw!$E:$E,Payments_Raw!$B:$B,A425,Payments_Raw!$F:$F,"Successful")</f>
        <v>0</v>
      </c>
      <c r="O425" s="26">
        <f t="shared" si="25"/>
        <v>595.82000000000005</v>
      </c>
      <c r="P425" s="9" t="str">
        <f t="shared" si="26"/>
        <v>Unpaid Invoice</v>
      </c>
      <c r="Q425" s="14" t="str">
        <f t="shared" si="27"/>
        <v>Overdue</v>
      </c>
      <c r="R425" s="14"/>
    </row>
    <row r="426" spans="1:18" x14ac:dyDescent="0.25">
      <c r="A426" s="18" t="s">
        <v>1313</v>
      </c>
      <c r="B426" s="8" t="s">
        <v>45</v>
      </c>
      <c r="C426" s="8" t="s">
        <v>1314</v>
      </c>
      <c r="D426" s="8" t="s">
        <v>1315</v>
      </c>
      <c r="E426" s="19">
        <v>46210</v>
      </c>
      <c r="F426" s="19">
        <v>46240</v>
      </c>
      <c r="G426" s="8">
        <v>17812.419999999998</v>
      </c>
      <c r="H426" s="8" t="s">
        <v>15</v>
      </c>
      <c r="I426" s="8" t="s">
        <v>16</v>
      </c>
      <c r="J426" s="8" t="s">
        <v>17</v>
      </c>
      <c r="K426" s="8" t="s">
        <v>18</v>
      </c>
      <c r="L426" t="str">
        <f t="shared" si="24"/>
        <v>Unique</v>
      </c>
      <c r="M426" s="8" t="str">
        <f>IF(COUNTIF(Payments_Raw!$B:$B,A426)=0,"Unpaid",IF(N426&gt;=G426,"Paid",IF(N426&gt;0,"Partial Payment",IF(COUNTIFS(Payments_Raw!$B:$B,A426,Payments_Raw!$F:$F,"Failed")&gt;0,"Failed",IF(COUNTIFS(Payments_Raw!$B:$B,A426,Payments_Raw!$F:$F,"Pending")&gt;0,"Pending","Unpaid")))))</f>
        <v>Failed</v>
      </c>
      <c r="N426" s="8">
        <f>SUMIFS(Payments_Raw!$E:$E,Payments_Raw!$B:$B,A426,Payments_Raw!$F:$F,"Successful")</f>
        <v>0</v>
      </c>
      <c r="O426" s="26">
        <f t="shared" si="25"/>
        <v>17812.419999999998</v>
      </c>
      <c r="P426" s="9" t="str">
        <f t="shared" si="26"/>
        <v>Failed Payment</v>
      </c>
      <c r="Q426" s="14" t="str">
        <f t="shared" si="27"/>
        <v>Overdue</v>
      </c>
      <c r="R426" s="14"/>
    </row>
    <row r="427" spans="1:18" x14ac:dyDescent="0.25">
      <c r="A427" s="18" t="s">
        <v>1316</v>
      </c>
      <c r="B427" s="8" t="s">
        <v>138</v>
      </c>
      <c r="C427" s="8" t="s">
        <v>1317</v>
      </c>
      <c r="D427" s="8" t="s">
        <v>1318</v>
      </c>
      <c r="E427" s="19">
        <v>46047</v>
      </c>
      <c r="F427" s="19">
        <v>46092</v>
      </c>
      <c r="G427" s="8">
        <v>16589.810000000001</v>
      </c>
      <c r="H427" s="8" t="s">
        <v>15</v>
      </c>
      <c r="I427" s="8" t="s">
        <v>39</v>
      </c>
      <c r="J427" s="8" t="s">
        <v>17</v>
      </c>
      <c r="K427" s="8" t="s">
        <v>63</v>
      </c>
      <c r="L427" t="str">
        <f t="shared" si="24"/>
        <v>Unique</v>
      </c>
      <c r="M427" s="8" t="str">
        <f>IF(COUNTIF(Payments_Raw!$B:$B,A427)=0,"Unpaid",IF(N427&gt;=G427,"Paid",IF(N427&gt;0,"Partial Payment",IF(COUNTIFS(Payments_Raw!$B:$B,A427,Payments_Raw!$F:$F,"Failed")&gt;0,"Failed",IF(COUNTIFS(Payments_Raw!$B:$B,A427,Payments_Raw!$F:$F,"Pending")&gt;0,"Pending","Unpaid")))))</f>
        <v>Paid</v>
      </c>
      <c r="N427" s="8">
        <f>SUMIFS(Payments_Raw!$E:$E,Payments_Raw!$B:$B,A427,Payments_Raw!$F:$F,"Successful")</f>
        <v>16589.810000000001</v>
      </c>
      <c r="O427" s="26">
        <f t="shared" si="25"/>
        <v>0</v>
      </c>
      <c r="P427" s="9" t="str">
        <f t="shared" si="26"/>
        <v>No Exception</v>
      </c>
      <c r="Q427" s="14" t="str">
        <f t="shared" si="27"/>
        <v>Not Overdue</v>
      </c>
      <c r="R427" s="14"/>
    </row>
    <row r="428" spans="1:18" x14ac:dyDescent="0.25">
      <c r="A428" s="18" t="s">
        <v>1319</v>
      </c>
      <c r="B428" s="8" t="s">
        <v>45</v>
      </c>
      <c r="C428" s="8" t="s">
        <v>1320</v>
      </c>
      <c r="D428" s="8" t="s">
        <v>1321</v>
      </c>
      <c r="E428" s="19">
        <v>46303</v>
      </c>
      <c r="F428" s="19">
        <v>46333</v>
      </c>
      <c r="G428" s="8">
        <v>6408.13</v>
      </c>
      <c r="H428" s="8" t="s">
        <v>15</v>
      </c>
      <c r="I428" s="8" t="s">
        <v>39</v>
      </c>
      <c r="J428" s="8" t="s">
        <v>30</v>
      </c>
      <c r="K428" s="8" t="s">
        <v>63</v>
      </c>
      <c r="L428" t="str">
        <f t="shared" si="24"/>
        <v>Duplicate</v>
      </c>
      <c r="M428" s="8" t="str">
        <f>IF(COUNTIF(Payments_Raw!$B:$B,A428)=0,"Unpaid",IF(N428&gt;=G428,"Paid",IF(N428&gt;0,"Partial Payment",IF(COUNTIFS(Payments_Raw!$B:$B,A428,Payments_Raw!$F:$F,"Failed")&gt;0,"Failed",IF(COUNTIFS(Payments_Raw!$B:$B,A428,Payments_Raw!$F:$F,"Pending")&gt;0,"Pending","Unpaid")))))</f>
        <v>Paid</v>
      </c>
      <c r="N428" s="8">
        <f>SUMIFS(Payments_Raw!$E:$E,Payments_Raw!$B:$B,A428,Payments_Raw!$F:$F,"Successful")</f>
        <v>6408.13</v>
      </c>
      <c r="O428" s="26">
        <f t="shared" si="25"/>
        <v>0</v>
      </c>
      <c r="P428" s="9" t="str">
        <f t="shared" si="26"/>
        <v>Duplicate Invoice</v>
      </c>
      <c r="Q428" s="14" t="str">
        <f t="shared" si="27"/>
        <v>Not Overdue</v>
      </c>
      <c r="R428" s="14"/>
    </row>
    <row r="429" spans="1:18" x14ac:dyDescent="0.25">
      <c r="A429" s="18" t="s">
        <v>1322</v>
      </c>
      <c r="B429" s="8" t="s">
        <v>45</v>
      </c>
      <c r="C429" s="8" t="s">
        <v>1323</v>
      </c>
      <c r="D429" s="8" t="s">
        <v>1324</v>
      </c>
      <c r="E429" s="19">
        <v>46289</v>
      </c>
      <c r="F429" s="19">
        <v>46319</v>
      </c>
      <c r="G429" s="8">
        <v>6837.03</v>
      </c>
      <c r="H429" s="8" t="s">
        <v>15</v>
      </c>
      <c r="I429" s="8" t="s">
        <v>39</v>
      </c>
      <c r="J429" s="8" t="s">
        <v>30</v>
      </c>
      <c r="K429" s="8" t="s">
        <v>24</v>
      </c>
      <c r="L429" t="str">
        <f t="shared" si="24"/>
        <v>Unique</v>
      </c>
      <c r="M429" s="8" t="str">
        <f>IF(COUNTIF(Payments_Raw!$B:$B,A429)=0,"Unpaid",IF(N429&gt;=G429,"Paid",IF(N429&gt;0,"Partial Payment",IF(COUNTIFS(Payments_Raw!$B:$B,A429,Payments_Raw!$F:$F,"Failed")&gt;0,"Failed",IF(COUNTIFS(Payments_Raw!$B:$B,A429,Payments_Raw!$F:$F,"Pending")&gt;0,"Pending","Unpaid")))))</f>
        <v>Unpaid</v>
      </c>
      <c r="N429" s="8">
        <f>SUMIFS(Payments_Raw!$E:$E,Payments_Raw!$B:$B,A429,Payments_Raw!$F:$F,"Successful")</f>
        <v>0</v>
      </c>
      <c r="O429" s="26">
        <f t="shared" si="25"/>
        <v>6837.03</v>
      </c>
      <c r="P429" s="9" t="str">
        <f t="shared" si="26"/>
        <v>Unpaid Invoice</v>
      </c>
      <c r="Q429" s="14" t="str">
        <f t="shared" si="27"/>
        <v>Overdue</v>
      </c>
      <c r="R429" s="14"/>
    </row>
    <row r="430" spans="1:18" x14ac:dyDescent="0.25">
      <c r="A430" s="18" t="s">
        <v>1325</v>
      </c>
      <c r="B430" s="8" t="s">
        <v>138</v>
      </c>
      <c r="C430" s="8" t="s">
        <v>1326</v>
      </c>
      <c r="D430" s="8" t="s">
        <v>1327</v>
      </c>
      <c r="E430" s="19">
        <v>46083</v>
      </c>
      <c r="F430" s="19">
        <v>46128</v>
      </c>
      <c r="G430" s="8">
        <v>7153.74</v>
      </c>
      <c r="H430" s="8" t="s">
        <v>15</v>
      </c>
      <c r="I430" s="8" t="s">
        <v>16</v>
      </c>
      <c r="J430" s="8" t="s">
        <v>17</v>
      </c>
      <c r="K430" s="8" t="s">
        <v>24</v>
      </c>
      <c r="L430" t="str">
        <f t="shared" si="24"/>
        <v>Unique</v>
      </c>
      <c r="M430" s="8" t="str">
        <f>IF(COUNTIF(Payments_Raw!$B:$B,A430)=0,"Unpaid",IF(N430&gt;=G430,"Paid",IF(N430&gt;0,"Partial Payment",IF(COUNTIFS(Payments_Raw!$B:$B,A430,Payments_Raw!$F:$F,"Failed")&gt;0,"Failed",IF(COUNTIFS(Payments_Raw!$B:$B,A430,Payments_Raw!$F:$F,"Pending")&gt;0,"Pending","Unpaid")))))</f>
        <v>Unpaid</v>
      </c>
      <c r="N430" s="8">
        <f>SUMIFS(Payments_Raw!$E:$E,Payments_Raw!$B:$B,A430,Payments_Raw!$F:$F,"Successful")</f>
        <v>0</v>
      </c>
      <c r="O430" s="26">
        <f t="shared" si="25"/>
        <v>7153.74</v>
      </c>
      <c r="P430" s="9" t="str">
        <f t="shared" si="26"/>
        <v>Unpaid Invoice</v>
      </c>
      <c r="Q430" s="14" t="str">
        <f t="shared" si="27"/>
        <v>Overdue</v>
      </c>
      <c r="R430" s="14"/>
    </row>
    <row r="431" spans="1:18" x14ac:dyDescent="0.25">
      <c r="A431" s="18" t="s">
        <v>1328</v>
      </c>
      <c r="B431" s="8" t="s">
        <v>53</v>
      </c>
      <c r="C431" s="8" t="s">
        <v>1329</v>
      </c>
      <c r="D431" s="8" t="s">
        <v>1330</v>
      </c>
      <c r="E431" s="19">
        <v>46206</v>
      </c>
      <c r="F431" s="19">
        <v>46236</v>
      </c>
      <c r="G431" s="8">
        <v>17621.509999999998</v>
      </c>
      <c r="H431" s="8" t="s">
        <v>15</v>
      </c>
      <c r="I431" s="8" t="s">
        <v>16</v>
      </c>
      <c r="J431" s="8" t="s">
        <v>17</v>
      </c>
      <c r="K431" s="8" t="s">
        <v>63</v>
      </c>
      <c r="L431" t="str">
        <f t="shared" si="24"/>
        <v>Unique</v>
      </c>
      <c r="M431" s="8" t="str">
        <f>IF(COUNTIF(Payments_Raw!$B:$B,A431)=0,"Unpaid",IF(N431&gt;=G431,"Paid",IF(N431&gt;0,"Partial Payment",IF(COUNTIFS(Payments_Raw!$B:$B,A431,Payments_Raw!$F:$F,"Failed")&gt;0,"Failed",IF(COUNTIFS(Payments_Raw!$B:$B,A431,Payments_Raw!$F:$F,"Pending")&gt;0,"Pending","Unpaid")))))</f>
        <v>Partial Payment</v>
      </c>
      <c r="N431" s="8">
        <f>SUMIFS(Payments_Raw!$E:$E,Payments_Raw!$B:$B,A431,Payments_Raw!$F:$F,"Successful")</f>
        <v>16740.43</v>
      </c>
      <c r="O431" s="26">
        <f t="shared" si="25"/>
        <v>881.07999999999811</v>
      </c>
      <c r="P431" s="9" t="str">
        <f t="shared" si="26"/>
        <v>Amount Mismatch</v>
      </c>
      <c r="Q431" s="14" t="str">
        <f t="shared" si="27"/>
        <v>Overdue</v>
      </c>
      <c r="R431" s="14"/>
    </row>
    <row r="432" spans="1:18" x14ac:dyDescent="0.25">
      <c r="A432" s="18" t="s">
        <v>1331</v>
      </c>
      <c r="B432" s="8" t="s">
        <v>26</v>
      </c>
      <c r="C432" s="8" t="s">
        <v>1332</v>
      </c>
      <c r="D432" s="8" t="s">
        <v>1333</v>
      </c>
      <c r="E432" s="19">
        <v>46143</v>
      </c>
      <c r="F432" s="19">
        <v>46173</v>
      </c>
      <c r="G432" s="8">
        <v>188.12</v>
      </c>
      <c r="H432" s="8" t="s">
        <v>15</v>
      </c>
      <c r="I432" s="8" t="s">
        <v>16</v>
      </c>
      <c r="J432" s="8" t="s">
        <v>17</v>
      </c>
      <c r="K432" s="8" t="s">
        <v>18</v>
      </c>
      <c r="L432" t="str">
        <f t="shared" si="24"/>
        <v>Unique</v>
      </c>
      <c r="M432" s="8" t="str">
        <f>IF(COUNTIF(Payments_Raw!$B:$B,A432)=0,"Unpaid",IF(N432&gt;=G432,"Paid",IF(N432&gt;0,"Partial Payment",IF(COUNTIFS(Payments_Raw!$B:$B,A432,Payments_Raw!$F:$F,"Failed")&gt;0,"Failed",IF(COUNTIFS(Payments_Raw!$B:$B,A432,Payments_Raw!$F:$F,"Pending")&gt;0,"Pending","Unpaid")))))</f>
        <v>Paid</v>
      </c>
      <c r="N432" s="8">
        <f>SUMIFS(Payments_Raw!$E:$E,Payments_Raw!$B:$B,A432,Payments_Raw!$F:$F,"Successful")</f>
        <v>188.12</v>
      </c>
      <c r="O432" s="26">
        <f t="shared" si="25"/>
        <v>0</v>
      </c>
      <c r="P432" s="9" t="str">
        <f t="shared" si="26"/>
        <v>No Exception</v>
      </c>
      <c r="Q432" s="14" t="str">
        <f t="shared" si="27"/>
        <v>Not Overdue</v>
      </c>
      <c r="R432" s="14"/>
    </row>
    <row r="433" spans="1:18" x14ac:dyDescent="0.25">
      <c r="A433" s="18" t="s">
        <v>1334</v>
      </c>
      <c r="B433" s="8" t="s">
        <v>36</v>
      </c>
      <c r="C433" s="8" t="s">
        <v>1335</v>
      </c>
      <c r="D433" s="8" t="s">
        <v>1336</v>
      </c>
      <c r="E433" s="19">
        <v>46061</v>
      </c>
      <c r="F433" s="19">
        <v>46091</v>
      </c>
      <c r="G433" s="8">
        <v>18122.259999999998</v>
      </c>
      <c r="H433" s="8" t="s">
        <v>15</v>
      </c>
      <c r="I433" s="8" t="s">
        <v>16</v>
      </c>
      <c r="J433" s="8" t="s">
        <v>17</v>
      </c>
      <c r="K433" s="8" t="s">
        <v>63</v>
      </c>
      <c r="L433" t="str">
        <f t="shared" si="24"/>
        <v>Unique</v>
      </c>
      <c r="M433" s="8" t="str">
        <f>IF(COUNTIF(Payments_Raw!$B:$B,A433)=0,"Unpaid",IF(N433&gt;=G433,"Paid",IF(N433&gt;0,"Partial Payment",IF(COUNTIFS(Payments_Raw!$B:$B,A433,Payments_Raw!$F:$F,"Failed")&gt;0,"Failed",IF(COUNTIFS(Payments_Raw!$B:$B,A433,Payments_Raw!$F:$F,"Pending")&gt;0,"Pending","Unpaid")))))</f>
        <v>Failed</v>
      </c>
      <c r="N433" s="8">
        <f>SUMIFS(Payments_Raw!$E:$E,Payments_Raw!$B:$B,A433,Payments_Raw!$F:$F,"Successful")</f>
        <v>0</v>
      </c>
      <c r="O433" s="26">
        <f t="shared" si="25"/>
        <v>18122.259999999998</v>
      </c>
      <c r="P433" s="9" t="str">
        <f t="shared" si="26"/>
        <v>Failed Payment</v>
      </c>
      <c r="Q433" s="14" t="str">
        <f t="shared" si="27"/>
        <v>Overdue</v>
      </c>
      <c r="R433" s="14"/>
    </row>
    <row r="434" spans="1:18" x14ac:dyDescent="0.25">
      <c r="A434" s="18" t="s">
        <v>1337</v>
      </c>
      <c r="B434" s="8" t="s">
        <v>49</v>
      </c>
      <c r="C434" s="8" t="s">
        <v>1338</v>
      </c>
      <c r="D434" s="8" t="s">
        <v>1339</v>
      </c>
      <c r="E434" s="19">
        <v>46260</v>
      </c>
      <c r="F434" s="19">
        <v>46290</v>
      </c>
      <c r="G434" s="8">
        <v>1366</v>
      </c>
      <c r="H434" s="8" t="s">
        <v>15</v>
      </c>
      <c r="I434" s="8" t="s">
        <v>16</v>
      </c>
      <c r="J434" s="8" t="s">
        <v>17</v>
      </c>
      <c r="K434" s="8" t="s">
        <v>63</v>
      </c>
      <c r="L434" t="str">
        <f t="shared" si="24"/>
        <v>Unique</v>
      </c>
      <c r="M434" s="8" t="str">
        <f>IF(COUNTIF(Payments_Raw!$B:$B,A434)=0,"Unpaid",IF(N434&gt;=G434,"Paid",IF(N434&gt;0,"Partial Payment",IF(COUNTIFS(Payments_Raw!$B:$B,A434,Payments_Raw!$F:$F,"Failed")&gt;0,"Failed",IF(COUNTIFS(Payments_Raw!$B:$B,A434,Payments_Raw!$F:$F,"Pending")&gt;0,"Pending","Unpaid")))))</f>
        <v>Partial Payment</v>
      </c>
      <c r="N434" s="8">
        <f>SUMIFS(Payments_Raw!$E:$E,Payments_Raw!$B:$B,A434,Payments_Raw!$F:$F,"Successful")</f>
        <v>819.6</v>
      </c>
      <c r="O434" s="26">
        <f t="shared" si="25"/>
        <v>546.4</v>
      </c>
      <c r="P434" s="9" t="str">
        <f t="shared" si="26"/>
        <v>Amount Mismatch</v>
      </c>
      <c r="Q434" s="14" t="str">
        <f t="shared" si="27"/>
        <v>Overdue</v>
      </c>
      <c r="R434" s="14"/>
    </row>
    <row r="435" spans="1:18" x14ac:dyDescent="0.25">
      <c r="A435" s="18" t="s">
        <v>1340</v>
      </c>
      <c r="B435" s="8" t="s">
        <v>85</v>
      </c>
      <c r="C435" s="8" t="s">
        <v>1341</v>
      </c>
      <c r="D435" s="8" t="s">
        <v>1342</v>
      </c>
      <c r="E435" s="19">
        <v>46082</v>
      </c>
      <c r="F435" s="19">
        <v>46127</v>
      </c>
      <c r="G435" s="8">
        <v>2483.56</v>
      </c>
      <c r="H435" s="8" t="s">
        <v>15</v>
      </c>
      <c r="I435" s="8" t="s">
        <v>23</v>
      </c>
      <c r="J435" s="8" t="s">
        <v>17</v>
      </c>
      <c r="K435" s="8" t="s">
        <v>18</v>
      </c>
      <c r="L435" t="str">
        <f t="shared" si="24"/>
        <v>Unique</v>
      </c>
      <c r="M435" s="8" t="str">
        <f>IF(COUNTIF(Payments_Raw!$B:$B,A435)=0,"Unpaid",IF(N435&gt;=G435,"Paid",IF(N435&gt;0,"Partial Payment",IF(COUNTIFS(Payments_Raw!$B:$B,A435,Payments_Raw!$F:$F,"Failed")&gt;0,"Failed",IF(COUNTIFS(Payments_Raw!$B:$B,A435,Payments_Raw!$F:$F,"Pending")&gt;0,"Pending","Unpaid")))))</f>
        <v>Failed</v>
      </c>
      <c r="N435" s="8">
        <f>SUMIFS(Payments_Raw!$E:$E,Payments_Raw!$B:$B,A435,Payments_Raw!$F:$F,"Successful")</f>
        <v>0</v>
      </c>
      <c r="O435" s="26">
        <f t="shared" si="25"/>
        <v>2483.56</v>
      </c>
      <c r="P435" s="9" t="str">
        <f t="shared" si="26"/>
        <v>Failed Payment</v>
      </c>
      <c r="Q435" s="14" t="str">
        <f t="shared" si="27"/>
        <v>Overdue</v>
      </c>
      <c r="R435" s="14"/>
    </row>
    <row r="436" spans="1:18" x14ac:dyDescent="0.25">
      <c r="A436" s="18" t="s">
        <v>1343</v>
      </c>
      <c r="B436" s="8" t="s">
        <v>26</v>
      </c>
      <c r="C436" s="8" t="s">
        <v>1344</v>
      </c>
      <c r="D436" s="8" t="s">
        <v>1345</v>
      </c>
      <c r="E436" s="19">
        <v>46206</v>
      </c>
      <c r="F436" s="19">
        <v>46236</v>
      </c>
      <c r="G436" s="8">
        <v>22375.85</v>
      </c>
      <c r="H436" s="8" t="s">
        <v>15</v>
      </c>
      <c r="I436" s="8" t="s">
        <v>29</v>
      </c>
      <c r="J436" s="8" t="s">
        <v>17</v>
      </c>
      <c r="K436" s="8" t="s">
        <v>18</v>
      </c>
      <c r="L436" t="str">
        <f t="shared" si="24"/>
        <v>Unique</v>
      </c>
      <c r="M436" s="8" t="str">
        <f>IF(COUNTIF(Payments_Raw!$B:$B,A436)=0,"Unpaid",IF(N436&gt;=G436,"Paid",IF(N436&gt;0,"Partial Payment",IF(COUNTIFS(Payments_Raw!$B:$B,A436,Payments_Raw!$F:$F,"Failed")&gt;0,"Failed",IF(COUNTIFS(Payments_Raw!$B:$B,A436,Payments_Raw!$F:$F,"Pending")&gt;0,"Pending","Unpaid")))))</f>
        <v>Failed</v>
      </c>
      <c r="N436" s="8">
        <f>SUMIFS(Payments_Raw!$E:$E,Payments_Raw!$B:$B,A436,Payments_Raw!$F:$F,"Successful")</f>
        <v>0</v>
      </c>
      <c r="O436" s="26">
        <f t="shared" si="25"/>
        <v>22375.85</v>
      </c>
      <c r="P436" s="9" t="str">
        <f t="shared" si="26"/>
        <v>Failed Payment</v>
      </c>
      <c r="Q436" s="14" t="str">
        <f t="shared" si="27"/>
        <v>Overdue</v>
      </c>
      <c r="R436" s="14"/>
    </row>
    <row r="437" spans="1:18" x14ac:dyDescent="0.25">
      <c r="A437" s="18" t="s">
        <v>1346</v>
      </c>
      <c r="B437" s="8" t="s">
        <v>45</v>
      </c>
      <c r="C437" s="8" t="s">
        <v>1347</v>
      </c>
      <c r="D437" s="8" t="s">
        <v>1348</v>
      </c>
      <c r="E437" s="19">
        <v>46228</v>
      </c>
      <c r="F437" s="19">
        <v>46258</v>
      </c>
      <c r="G437" s="8">
        <v>10078.23</v>
      </c>
      <c r="H437" s="8" t="s">
        <v>15</v>
      </c>
      <c r="I437" s="8" t="s">
        <v>23</v>
      </c>
      <c r="J437" s="8" t="s">
        <v>17</v>
      </c>
      <c r="K437" s="8" t="s">
        <v>24</v>
      </c>
      <c r="L437" t="str">
        <f t="shared" si="24"/>
        <v>Unique</v>
      </c>
      <c r="M437" s="8" t="str">
        <f>IF(COUNTIF(Payments_Raw!$B:$B,A437)=0,"Unpaid",IF(N437&gt;=G437,"Paid",IF(N437&gt;0,"Partial Payment",IF(COUNTIFS(Payments_Raw!$B:$B,A437,Payments_Raw!$F:$F,"Failed")&gt;0,"Failed",IF(COUNTIFS(Payments_Raw!$B:$B,A437,Payments_Raw!$F:$F,"Pending")&gt;0,"Pending","Unpaid")))))</f>
        <v>Paid</v>
      </c>
      <c r="N437" s="8">
        <f>SUMIFS(Payments_Raw!$E:$E,Payments_Raw!$B:$B,A437,Payments_Raw!$F:$F,"Successful")</f>
        <v>10078.23</v>
      </c>
      <c r="O437" s="26">
        <f t="shared" si="25"/>
        <v>0</v>
      </c>
      <c r="P437" s="9" t="str">
        <f t="shared" si="26"/>
        <v>No Exception</v>
      </c>
      <c r="Q437" s="14" t="str">
        <f t="shared" si="27"/>
        <v>Not Overdue</v>
      </c>
      <c r="R437" s="14"/>
    </row>
    <row r="438" spans="1:18" x14ac:dyDescent="0.25">
      <c r="A438" s="18" t="s">
        <v>1349</v>
      </c>
      <c r="B438" s="8" t="s">
        <v>12</v>
      </c>
      <c r="C438" s="8" t="s">
        <v>1350</v>
      </c>
      <c r="D438" s="8" t="s">
        <v>1351</v>
      </c>
      <c r="E438" s="19">
        <v>46080</v>
      </c>
      <c r="F438" s="19">
        <v>46095</v>
      </c>
      <c r="G438" s="8">
        <v>3416.89</v>
      </c>
      <c r="H438" s="8" t="s">
        <v>15</v>
      </c>
      <c r="I438" s="8" t="s">
        <v>16</v>
      </c>
      <c r="J438" s="8" t="s">
        <v>17</v>
      </c>
      <c r="K438" s="8" t="s">
        <v>24</v>
      </c>
      <c r="L438" t="str">
        <f t="shared" si="24"/>
        <v>Unique</v>
      </c>
      <c r="M438" s="8" t="str">
        <f>IF(COUNTIF(Payments_Raw!$B:$B,A438)=0,"Unpaid",IF(N438&gt;=G438,"Paid",IF(N438&gt;0,"Partial Payment",IF(COUNTIFS(Payments_Raw!$B:$B,A438,Payments_Raw!$F:$F,"Failed")&gt;0,"Failed",IF(COUNTIFS(Payments_Raw!$B:$B,A438,Payments_Raw!$F:$F,"Pending")&gt;0,"Pending","Unpaid")))))</f>
        <v>Paid</v>
      </c>
      <c r="N438" s="8">
        <f>SUMIFS(Payments_Raw!$E:$E,Payments_Raw!$B:$B,A438,Payments_Raw!$F:$F,"Successful")</f>
        <v>3416.89</v>
      </c>
      <c r="O438" s="26">
        <f t="shared" si="25"/>
        <v>0</v>
      </c>
      <c r="P438" s="9" t="str">
        <f t="shared" si="26"/>
        <v>No Exception</v>
      </c>
      <c r="Q438" s="14" t="str">
        <f t="shared" si="27"/>
        <v>Not Overdue</v>
      </c>
      <c r="R438" s="14"/>
    </row>
    <row r="439" spans="1:18" x14ac:dyDescent="0.25">
      <c r="A439" s="18" t="s">
        <v>1352</v>
      </c>
      <c r="B439" s="8" t="s">
        <v>112</v>
      </c>
      <c r="C439" s="8" t="s">
        <v>1353</v>
      </c>
      <c r="D439" s="8" t="s">
        <v>1354</v>
      </c>
      <c r="E439" s="19">
        <v>46115</v>
      </c>
      <c r="F439" s="19">
        <v>46130</v>
      </c>
      <c r="G439" s="8">
        <v>15329.72</v>
      </c>
      <c r="H439" s="8" t="s">
        <v>15</v>
      </c>
      <c r="I439" s="8" t="s">
        <v>23</v>
      </c>
      <c r="J439" s="8" t="s">
        <v>17</v>
      </c>
      <c r="K439" s="8" t="s">
        <v>24</v>
      </c>
      <c r="L439" t="str">
        <f t="shared" si="24"/>
        <v>Unique</v>
      </c>
      <c r="M439" s="8" t="str">
        <f>IF(COUNTIF(Payments_Raw!$B:$B,A439)=0,"Unpaid",IF(N439&gt;=G439,"Paid",IF(N439&gt;0,"Partial Payment",IF(COUNTIFS(Payments_Raw!$B:$B,A439,Payments_Raw!$F:$F,"Failed")&gt;0,"Failed",IF(COUNTIFS(Payments_Raw!$B:$B,A439,Payments_Raw!$F:$F,"Pending")&gt;0,"Pending","Unpaid")))))</f>
        <v>Pending</v>
      </c>
      <c r="N439" s="8">
        <f>SUMIFS(Payments_Raw!$E:$E,Payments_Raw!$B:$B,A439,Payments_Raw!$F:$F,"Successful")</f>
        <v>0</v>
      </c>
      <c r="O439" s="26">
        <f t="shared" si="25"/>
        <v>15329.72</v>
      </c>
      <c r="P439" s="9" t="str">
        <f t="shared" si="26"/>
        <v>Pending Payment</v>
      </c>
      <c r="Q439" s="14" t="str">
        <f t="shared" si="27"/>
        <v>Overdue</v>
      </c>
      <c r="R439" s="14"/>
    </row>
    <row r="440" spans="1:18" x14ac:dyDescent="0.25">
      <c r="A440" s="18" t="s">
        <v>1355</v>
      </c>
      <c r="B440" s="8" t="s">
        <v>122</v>
      </c>
      <c r="C440" s="8" t="s">
        <v>1356</v>
      </c>
      <c r="D440" s="8" t="s">
        <v>1357</v>
      </c>
      <c r="E440" s="19">
        <v>46270</v>
      </c>
      <c r="F440" s="19">
        <v>46285</v>
      </c>
      <c r="G440" s="8">
        <v>23019.5</v>
      </c>
      <c r="H440" s="8" t="s">
        <v>15</v>
      </c>
      <c r="I440" s="8" t="s">
        <v>29</v>
      </c>
      <c r="J440" s="8" t="s">
        <v>17</v>
      </c>
      <c r="K440" s="8" t="s">
        <v>63</v>
      </c>
      <c r="L440" t="str">
        <f t="shared" si="24"/>
        <v>Unique</v>
      </c>
      <c r="M440" s="8" t="str">
        <f>IF(COUNTIF(Payments_Raw!$B:$B,A440)=0,"Unpaid",IF(N440&gt;=G440,"Paid",IF(N440&gt;0,"Partial Payment",IF(COUNTIFS(Payments_Raw!$B:$B,A440,Payments_Raw!$F:$F,"Failed")&gt;0,"Failed",IF(COUNTIFS(Payments_Raw!$B:$B,A440,Payments_Raw!$F:$F,"Pending")&gt;0,"Pending","Unpaid")))))</f>
        <v>Failed</v>
      </c>
      <c r="N440" s="8">
        <f>SUMIFS(Payments_Raw!$E:$E,Payments_Raw!$B:$B,A440,Payments_Raw!$F:$F,"Successful")</f>
        <v>0</v>
      </c>
      <c r="O440" s="26">
        <f t="shared" si="25"/>
        <v>23019.5</v>
      </c>
      <c r="P440" s="9" t="str">
        <f t="shared" si="26"/>
        <v>Failed Payment</v>
      </c>
      <c r="Q440" s="14" t="str">
        <f t="shared" si="27"/>
        <v>Overdue</v>
      </c>
      <c r="R440" s="14"/>
    </row>
    <row r="441" spans="1:18" x14ac:dyDescent="0.25">
      <c r="A441" s="18" t="s">
        <v>1358</v>
      </c>
      <c r="B441" s="8" t="s">
        <v>71</v>
      </c>
      <c r="C441" s="8" t="s">
        <v>1359</v>
      </c>
      <c r="D441" s="8" t="s">
        <v>1360</v>
      </c>
      <c r="E441" s="19">
        <v>46291</v>
      </c>
      <c r="F441" s="19">
        <v>46306</v>
      </c>
      <c r="G441" s="8">
        <v>19216.11</v>
      </c>
      <c r="H441" s="8" t="s">
        <v>15</v>
      </c>
      <c r="I441" s="8" t="s">
        <v>23</v>
      </c>
      <c r="J441" s="8" t="s">
        <v>17</v>
      </c>
      <c r="K441" s="8" t="s">
        <v>63</v>
      </c>
      <c r="L441" t="str">
        <f t="shared" si="24"/>
        <v>Unique</v>
      </c>
      <c r="M441" s="8" t="str">
        <f>IF(COUNTIF(Payments_Raw!$B:$B,A441)=0,"Unpaid",IF(N441&gt;=G441,"Paid",IF(N441&gt;0,"Partial Payment",IF(COUNTIFS(Payments_Raw!$B:$B,A441,Payments_Raw!$F:$F,"Failed")&gt;0,"Failed",IF(COUNTIFS(Payments_Raw!$B:$B,A441,Payments_Raw!$F:$F,"Pending")&gt;0,"Pending","Unpaid")))))</f>
        <v>Unpaid</v>
      </c>
      <c r="N441" s="8">
        <f>SUMIFS(Payments_Raw!$E:$E,Payments_Raw!$B:$B,A441,Payments_Raw!$F:$F,"Successful")</f>
        <v>0</v>
      </c>
      <c r="O441" s="26">
        <f t="shared" si="25"/>
        <v>19216.11</v>
      </c>
      <c r="P441" s="9" t="str">
        <f t="shared" si="26"/>
        <v>Unpaid Invoice</v>
      </c>
      <c r="Q441" s="14" t="str">
        <f t="shared" si="27"/>
        <v>Overdue</v>
      </c>
      <c r="R441" s="14"/>
    </row>
    <row r="442" spans="1:18" x14ac:dyDescent="0.25">
      <c r="A442" s="18" t="s">
        <v>1361</v>
      </c>
      <c r="B442" s="8" t="s">
        <v>36</v>
      </c>
      <c r="C442" s="8" t="s">
        <v>1362</v>
      </c>
      <c r="D442" s="8" t="s">
        <v>1363</v>
      </c>
      <c r="E442" s="19">
        <v>46290</v>
      </c>
      <c r="F442" s="19">
        <v>46320</v>
      </c>
      <c r="G442" s="8">
        <v>17243.45</v>
      </c>
      <c r="H442" s="8" t="s">
        <v>15</v>
      </c>
      <c r="I442" s="8" t="s">
        <v>39</v>
      </c>
      <c r="J442" s="8" t="s">
        <v>17</v>
      </c>
      <c r="K442" s="8" t="s">
        <v>24</v>
      </c>
      <c r="L442" t="str">
        <f t="shared" si="24"/>
        <v>Unique</v>
      </c>
      <c r="M442" s="8" t="str">
        <f>IF(COUNTIF(Payments_Raw!$B:$B,A442)=0,"Unpaid",IF(N442&gt;=G442,"Paid",IF(N442&gt;0,"Partial Payment",IF(COUNTIFS(Payments_Raw!$B:$B,A442,Payments_Raw!$F:$F,"Failed")&gt;0,"Failed",IF(COUNTIFS(Payments_Raw!$B:$B,A442,Payments_Raw!$F:$F,"Pending")&gt;0,"Pending","Unpaid")))))</f>
        <v>Unpaid</v>
      </c>
      <c r="N442" s="8">
        <f>SUMIFS(Payments_Raw!$E:$E,Payments_Raw!$B:$B,A442,Payments_Raw!$F:$F,"Successful")</f>
        <v>0</v>
      </c>
      <c r="O442" s="26">
        <f t="shared" si="25"/>
        <v>17243.45</v>
      </c>
      <c r="P442" s="9" t="str">
        <f t="shared" si="26"/>
        <v>Unpaid Invoice</v>
      </c>
      <c r="Q442" s="14" t="str">
        <f t="shared" si="27"/>
        <v>Overdue</v>
      </c>
      <c r="R442" s="14"/>
    </row>
    <row r="443" spans="1:18" x14ac:dyDescent="0.25">
      <c r="A443" s="18" t="s">
        <v>1364</v>
      </c>
      <c r="B443" s="8" t="s">
        <v>41</v>
      </c>
      <c r="C443" s="8" t="s">
        <v>1365</v>
      </c>
      <c r="D443" s="8" t="s">
        <v>1366</v>
      </c>
      <c r="E443" s="19">
        <v>46099</v>
      </c>
      <c r="F443" s="19">
        <v>46114</v>
      </c>
      <c r="G443" s="8">
        <v>20995.14</v>
      </c>
      <c r="H443" s="8" t="s">
        <v>15</v>
      </c>
      <c r="I443" s="8" t="s">
        <v>29</v>
      </c>
      <c r="J443" s="8" t="s">
        <v>17</v>
      </c>
      <c r="K443" s="8" t="s">
        <v>24</v>
      </c>
      <c r="L443" t="str">
        <f t="shared" si="24"/>
        <v>Unique</v>
      </c>
      <c r="M443" s="8" t="str">
        <f>IF(COUNTIF(Payments_Raw!$B:$B,A443)=0,"Unpaid",IF(N443&gt;=G443,"Paid",IF(N443&gt;0,"Partial Payment",IF(COUNTIFS(Payments_Raw!$B:$B,A443,Payments_Raw!$F:$F,"Failed")&gt;0,"Failed",IF(COUNTIFS(Payments_Raw!$B:$B,A443,Payments_Raw!$F:$F,"Pending")&gt;0,"Pending","Unpaid")))))</f>
        <v>Paid</v>
      </c>
      <c r="N443" s="8">
        <f>SUMIFS(Payments_Raw!$E:$E,Payments_Raw!$B:$B,A443,Payments_Raw!$F:$F,"Successful")</f>
        <v>20995.14</v>
      </c>
      <c r="O443" s="26">
        <f t="shared" si="25"/>
        <v>0</v>
      </c>
      <c r="P443" s="9" t="str">
        <f t="shared" si="26"/>
        <v>No Exception</v>
      </c>
      <c r="Q443" s="14" t="str">
        <f t="shared" si="27"/>
        <v>Not Overdue</v>
      </c>
      <c r="R443" s="14"/>
    </row>
    <row r="444" spans="1:18" x14ac:dyDescent="0.25">
      <c r="A444" s="18" t="s">
        <v>1367</v>
      </c>
      <c r="B444" s="8" t="s">
        <v>75</v>
      </c>
      <c r="C444" s="8" t="s">
        <v>1368</v>
      </c>
      <c r="D444" s="8" t="s">
        <v>1369</v>
      </c>
      <c r="E444" s="19">
        <v>46276</v>
      </c>
      <c r="F444" s="19">
        <v>46291</v>
      </c>
      <c r="G444" s="8">
        <v>42207.68</v>
      </c>
      <c r="H444" s="8" t="s">
        <v>15</v>
      </c>
      <c r="I444" s="8" t="s">
        <v>23</v>
      </c>
      <c r="J444" s="8" t="s">
        <v>30</v>
      </c>
      <c r="K444" s="8" t="s">
        <v>18</v>
      </c>
      <c r="L444" t="str">
        <f t="shared" si="24"/>
        <v>Unique</v>
      </c>
      <c r="M444" s="8" t="str">
        <f>IF(COUNTIF(Payments_Raw!$B:$B,A444)=0,"Unpaid",IF(N444&gt;=G444,"Paid",IF(N444&gt;0,"Partial Payment",IF(COUNTIFS(Payments_Raw!$B:$B,A444,Payments_Raw!$F:$F,"Failed")&gt;0,"Failed",IF(COUNTIFS(Payments_Raw!$B:$B,A444,Payments_Raw!$F:$F,"Pending")&gt;0,"Pending","Unpaid")))))</f>
        <v>Paid</v>
      </c>
      <c r="N444" s="8">
        <f>SUMIFS(Payments_Raw!$E:$E,Payments_Raw!$B:$B,A444,Payments_Raw!$F:$F,"Successful")</f>
        <v>42207.68</v>
      </c>
      <c r="O444" s="26">
        <f t="shared" si="25"/>
        <v>0</v>
      </c>
      <c r="P444" s="9" t="str">
        <f t="shared" si="26"/>
        <v>No Exception</v>
      </c>
      <c r="Q444" s="14" t="str">
        <f t="shared" si="27"/>
        <v>Not Overdue</v>
      </c>
      <c r="R444" s="14"/>
    </row>
    <row r="445" spans="1:18" x14ac:dyDescent="0.25">
      <c r="A445" s="18" t="s">
        <v>1370</v>
      </c>
      <c r="B445" s="8" t="s">
        <v>32</v>
      </c>
      <c r="C445" s="8" t="s">
        <v>1371</v>
      </c>
      <c r="D445" s="8" t="s">
        <v>1372</v>
      </c>
      <c r="E445" s="19">
        <v>46216</v>
      </c>
      <c r="F445" s="19">
        <v>46246</v>
      </c>
      <c r="G445" s="8">
        <v>10153.530000000001</v>
      </c>
      <c r="H445" s="8" t="s">
        <v>15</v>
      </c>
      <c r="I445" s="8" t="s">
        <v>39</v>
      </c>
      <c r="J445" s="8" t="s">
        <v>17</v>
      </c>
      <c r="K445" s="8" t="s">
        <v>63</v>
      </c>
      <c r="L445" t="str">
        <f t="shared" si="24"/>
        <v>Unique</v>
      </c>
      <c r="M445" s="8" t="str">
        <f>IF(COUNTIF(Payments_Raw!$B:$B,A445)=0,"Unpaid",IF(N445&gt;=G445,"Paid",IF(N445&gt;0,"Partial Payment",IF(COUNTIFS(Payments_Raw!$B:$B,A445,Payments_Raw!$F:$F,"Failed")&gt;0,"Failed",IF(COUNTIFS(Payments_Raw!$B:$B,A445,Payments_Raw!$F:$F,"Pending")&gt;0,"Pending","Unpaid")))))</f>
        <v>Paid</v>
      </c>
      <c r="N445" s="8">
        <f>SUMIFS(Payments_Raw!$E:$E,Payments_Raw!$B:$B,A445,Payments_Raw!$F:$F,"Successful")</f>
        <v>10153.530000000001</v>
      </c>
      <c r="O445" s="26">
        <f t="shared" si="25"/>
        <v>0</v>
      </c>
      <c r="P445" s="9" t="str">
        <f t="shared" si="26"/>
        <v>No Exception</v>
      </c>
      <c r="Q445" s="14" t="str">
        <f t="shared" si="27"/>
        <v>Not Overdue</v>
      </c>
      <c r="R445" s="14"/>
    </row>
    <row r="446" spans="1:18" x14ac:dyDescent="0.25">
      <c r="A446" s="18" t="s">
        <v>1373</v>
      </c>
      <c r="B446" s="8" t="s">
        <v>112</v>
      </c>
      <c r="C446" s="8" t="s">
        <v>1374</v>
      </c>
      <c r="D446" s="8" t="s">
        <v>1375</v>
      </c>
      <c r="E446" s="19">
        <v>46184</v>
      </c>
      <c r="F446" s="19">
        <v>46199</v>
      </c>
      <c r="G446" s="8">
        <v>3073.43</v>
      </c>
      <c r="H446" s="8" t="s">
        <v>15</v>
      </c>
      <c r="I446" s="8" t="s">
        <v>29</v>
      </c>
      <c r="J446" s="8" t="s">
        <v>17</v>
      </c>
      <c r="K446" s="8" t="s">
        <v>24</v>
      </c>
      <c r="L446" t="str">
        <f t="shared" si="24"/>
        <v>Unique</v>
      </c>
      <c r="M446" s="8" t="str">
        <f>IF(COUNTIF(Payments_Raw!$B:$B,A446)=0,"Unpaid",IF(N446&gt;=G446,"Paid",IF(N446&gt;0,"Partial Payment",IF(COUNTIFS(Payments_Raw!$B:$B,A446,Payments_Raw!$F:$F,"Failed")&gt;0,"Failed",IF(COUNTIFS(Payments_Raw!$B:$B,A446,Payments_Raw!$F:$F,"Pending")&gt;0,"Pending","Unpaid")))))</f>
        <v>Pending</v>
      </c>
      <c r="N446" s="8">
        <f>SUMIFS(Payments_Raw!$E:$E,Payments_Raw!$B:$B,A446,Payments_Raw!$F:$F,"Successful")</f>
        <v>0</v>
      </c>
      <c r="O446" s="26">
        <f t="shared" si="25"/>
        <v>3073.43</v>
      </c>
      <c r="P446" s="9" t="str">
        <f t="shared" si="26"/>
        <v>Pending Payment</v>
      </c>
      <c r="Q446" s="14" t="str">
        <f t="shared" si="27"/>
        <v>Overdue</v>
      </c>
      <c r="R446" s="14"/>
    </row>
    <row r="447" spans="1:18" x14ac:dyDescent="0.25">
      <c r="A447" s="18" t="s">
        <v>1376</v>
      </c>
      <c r="B447" s="8" t="s">
        <v>32</v>
      </c>
      <c r="C447" s="8" t="s">
        <v>1377</v>
      </c>
      <c r="D447" s="8" t="s">
        <v>1378</v>
      </c>
      <c r="E447" s="19">
        <v>46023</v>
      </c>
      <c r="F447" s="19">
        <v>46053</v>
      </c>
      <c r="G447" s="8">
        <v>20668.61</v>
      </c>
      <c r="H447" s="8" t="s">
        <v>15</v>
      </c>
      <c r="I447" s="8" t="s">
        <v>16</v>
      </c>
      <c r="J447" s="8" t="s">
        <v>17</v>
      </c>
      <c r="K447" s="8" t="s">
        <v>18</v>
      </c>
      <c r="L447" t="str">
        <f t="shared" si="24"/>
        <v>Unique</v>
      </c>
      <c r="M447" s="8" t="str">
        <f>IF(COUNTIF(Payments_Raw!$B:$B,A447)=0,"Unpaid",IF(N447&gt;=G447,"Paid",IF(N447&gt;0,"Partial Payment",IF(COUNTIFS(Payments_Raw!$B:$B,A447,Payments_Raw!$F:$F,"Failed")&gt;0,"Failed",IF(COUNTIFS(Payments_Raw!$B:$B,A447,Payments_Raw!$F:$F,"Pending")&gt;0,"Pending","Unpaid")))))</f>
        <v>Paid</v>
      </c>
      <c r="N447" s="8">
        <f>SUMIFS(Payments_Raw!$E:$E,Payments_Raw!$B:$B,A447,Payments_Raw!$F:$F,"Successful")</f>
        <v>20668.61</v>
      </c>
      <c r="O447" s="26">
        <f t="shared" si="25"/>
        <v>0</v>
      </c>
      <c r="P447" s="9" t="str">
        <f t="shared" si="26"/>
        <v>No Exception</v>
      </c>
      <c r="Q447" s="14" t="str">
        <f t="shared" si="27"/>
        <v>Not Overdue</v>
      </c>
      <c r="R447" s="14"/>
    </row>
    <row r="448" spans="1:18" x14ac:dyDescent="0.25">
      <c r="A448" s="18" t="s">
        <v>1379</v>
      </c>
      <c r="B448" s="8" t="s">
        <v>112</v>
      </c>
      <c r="C448" s="8" t="s">
        <v>1380</v>
      </c>
      <c r="D448" s="8" t="s">
        <v>1381</v>
      </c>
      <c r="E448" s="19">
        <v>46197</v>
      </c>
      <c r="F448" s="19">
        <v>46212</v>
      </c>
      <c r="G448" s="8">
        <v>32802.129999999997</v>
      </c>
      <c r="H448" s="8" t="s">
        <v>15</v>
      </c>
      <c r="I448" s="8" t="s">
        <v>16</v>
      </c>
      <c r="J448" s="8" t="s">
        <v>17</v>
      </c>
      <c r="K448" s="8" t="s">
        <v>63</v>
      </c>
      <c r="L448" t="str">
        <f t="shared" si="24"/>
        <v>Unique</v>
      </c>
      <c r="M448" s="8" t="str">
        <f>IF(COUNTIF(Payments_Raw!$B:$B,A448)=0,"Unpaid",IF(N448&gt;=G448,"Paid",IF(N448&gt;0,"Partial Payment",IF(COUNTIFS(Payments_Raw!$B:$B,A448,Payments_Raw!$F:$F,"Failed")&gt;0,"Failed",IF(COUNTIFS(Payments_Raw!$B:$B,A448,Payments_Raw!$F:$F,"Pending")&gt;0,"Pending","Unpaid")))))</f>
        <v>Paid</v>
      </c>
      <c r="N448" s="8">
        <f>SUMIFS(Payments_Raw!$E:$E,Payments_Raw!$B:$B,A448,Payments_Raw!$F:$F,"Successful")</f>
        <v>32802.129999999997</v>
      </c>
      <c r="O448" s="26">
        <f t="shared" si="25"/>
        <v>0</v>
      </c>
      <c r="P448" s="9" t="str">
        <f t="shared" si="26"/>
        <v>No Exception</v>
      </c>
      <c r="Q448" s="14" t="str">
        <f t="shared" si="27"/>
        <v>Not Overdue</v>
      </c>
      <c r="R448" s="14"/>
    </row>
    <row r="449" spans="1:18" x14ac:dyDescent="0.25">
      <c r="A449" s="18" t="s">
        <v>1382</v>
      </c>
      <c r="B449" s="8" t="s">
        <v>57</v>
      </c>
      <c r="C449" s="8" t="s">
        <v>1383</v>
      </c>
      <c r="D449" s="8" t="s">
        <v>1384</v>
      </c>
      <c r="E449" s="19">
        <v>46254</v>
      </c>
      <c r="F449" s="19">
        <v>46299</v>
      </c>
      <c r="G449" s="8">
        <v>2956.9</v>
      </c>
      <c r="H449" s="8" t="s">
        <v>15</v>
      </c>
      <c r="I449" s="8" t="s">
        <v>16</v>
      </c>
      <c r="J449" s="8" t="s">
        <v>17</v>
      </c>
      <c r="K449" s="8" t="s">
        <v>63</v>
      </c>
      <c r="L449" t="str">
        <f t="shared" si="24"/>
        <v>Unique</v>
      </c>
      <c r="M449" s="8" t="str">
        <f>IF(COUNTIF(Payments_Raw!$B:$B,A449)=0,"Unpaid",IF(N449&gt;=G449,"Paid",IF(N449&gt;0,"Partial Payment",IF(COUNTIFS(Payments_Raw!$B:$B,A449,Payments_Raw!$F:$F,"Failed")&gt;0,"Failed",IF(COUNTIFS(Payments_Raw!$B:$B,A449,Payments_Raw!$F:$F,"Pending")&gt;0,"Pending","Unpaid")))))</f>
        <v>Unpaid</v>
      </c>
      <c r="N449" s="8">
        <f>SUMIFS(Payments_Raw!$E:$E,Payments_Raw!$B:$B,A449,Payments_Raw!$F:$F,"Successful")</f>
        <v>0</v>
      </c>
      <c r="O449" s="26">
        <f t="shared" si="25"/>
        <v>2956.9</v>
      </c>
      <c r="P449" s="9" t="str">
        <f t="shared" si="26"/>
        <v>Unpaid Invoice</v>
      </c>
      <c r="Q449" s="14" t="str">
        <f t="shared" si="27"/>
        <v>Overdue</v>
      </c>
      <c r="R449" s="14"/>
    </row>
    <row r="450" spans="1:18" x14ac:dyDescent="0.25">
      <c r="A450" s="18" t="s">
        <v>1385</v>
      </c>
      <c r="B450" s="8" t="s">
        <v>32</v>
      </c>
      <c r="C450" s="8" t="s">
        <v>1386</v>
      </c>
      <c r="D450" s="8" t="s">
        <v>1387</v>
      </c>
      <c r="E450" s="19">
        <v>46290</v>
      </c>
      <c r="F450" s="19">
        <v>46320</v>
      </c>
      <c r="G450" s="8">
        <v>9422.39</v>
      </c>
      <c r="H450" s="8" t="s">
        <v>15</v>
      </c>
      <c r="I450" s="8" t="s">
        <v>29</v>
      </c>
      <c r="J450" s="8" t="s">
        <v>17</v>
      </c>
      <c r="K450" s="8" t="s">
        <v>24</v>
      </c>
      <c r="L450" t="str">
        <f t="shared" si="24"/>
        <v>Unique</v>
      </c>
      <c r="M450" s="8" t="str">
        <f>IF(COUNTIF(Payments_Raw!$B:$B,A450)=0,"Unpaid",IF(N450&gt;=G450,"Paid",IF(N450&gt;0,"Partial Payment",IF(COUNTIFS(Payments_Raw!$B:$B,A450,Payments_Raw!$F:$F,"Failed")&gt;0,"Failed",IF(COUNTIFS(Payments_Raw!$B:$B,A450,Payments_Raw!$F:$F,"Pending")&gt;0,"Pending","Unpaid")))))</f>
        <v>Paid</v>
      </c>
      <c r="N450" s="8">
        <f>SUMIFS(Payments_Raw!$E:$E,Payments_Raw!$B:$B,A450,Payments_Raw!$F:$F,"Successful")</f>
        <v>9422.39</v>
      </c>
      <c r="O450" s="26">
        <f t="shared" si="25"/>
        <v>0</v>
      </c>
      <c r="P450" s="9" t="str">
        <f t="shared" si="26"/>
        <v>No Exception</v>
      </c>
      <c r="Q450" s="14" t="str">
        <f t="shared" si="27"/>
        <v>Not Overdue</v>
      </c>
      <c r="R450" s="14"/>
    </row>
    <row r="451" spans="1:18" x14ac:dyDescent="0.25">
      <c r="A451" s="18" t="s">
        <v>1388</v>
      </c>
      <c r="B451" s="8" t="s">
        <v>85</v>
      </c>
      <c r="C451" s="8" t="s">
        <v>1389</v>
      </c>
      <c r="D451" s="8" t="s">
        <v>1390</v>
      </c>
      <c r="E451" s="19">
        <v>46077</v>
      </c>
      <c r="F451" s="19">
        <v>46122</v>
      </c>
      <c r="G451" s="8">
        <v>6446.72</v>
      </c>
      <c r="H451" s="8" t="s">
        <v>15</v>
      </c>
      <c r="I451" s="8" t="s">
        <v>16</v>
      </c>
      <c r="J451" s="8" t="s">
        <v>17</v>
      </c>
      <c r="K451" s="8" t="s">
        <v>18</v>
      </c>
      <c r="L451" t="str">
        <f t="shared" ref="L451:L514" si="28">IF(COUNTIFS($B:$B,B451,$C:$C,C451)&gt;1,"Duplicate","Unique")</f>
        <v>Unique</v>
      </c>
      <c r="M451" s="8" t="str">
        <f>IF(COUNTIF(Payments_Raw!$B:$B,A451)=0,"Unpaid",IF(N451&gt;=G451,"Paid",IF(N451&gt;0,"Partial Payment",IF(COUNTIFS(Payments_Raw!$B:$B,A451,Payments_Raw!$F:$F,"Failed")&gt;0,"Failed",IF(COUNTIFS(Payments_Raw!$B:$B,A451,Payments_Raw!$F:$F,"Pending")&gt;0,"Pending","Unpaid")))))</f>
        <v>Unpaid</v>
      </c>
      <c r="N451" s="8">
        <f>SUMIFS(Payments_Raw!$E:$E,Payments_Raw!$B:$B,A451,Payments_Raw!$F:$F,"Successful")</f>
        <v>0</v>
      </c>
      <c r="O451" s="26">
        <f t="shared" ref="O451:O514" si="29">G451-N451</f>
        <v>6446.72</v>
      </c>
      <c r="P451" s="9" t="str">
        <f t="shared" ref="P451:P514" si="30">IF(L451="Duplicate","Duplicate Invoice",IF(M451="Failed","Failed Payment",IF(M451="Pending","Pending Payment",IF(M451="Unpaid","Unpaid Invoice",IF(M451="Partial Payment","Amount Mismatch","No Exception")))))</f>
        <v>Unpaid Invoice</v>
      </c>
      <c r="Q451" s="14" t="str">
        <f t="shared" ref="Q451:Q514" si="31">IF(AND(G451&lt;DATE(2026,10,14),M451&lt;&gt;"Paid"),"Overdue","Not Overdue")</f>
        <v>Overdue</v>
      </c>
      <c r="R451" s="14"/>
    </row>
    <row r="452" spans="1:18" x14ac:dyDescent="0.25">
      <c r="A452" s="18" t="s">
        <v>1391</v>
      </c>
      <c r="B452" s="8" t="s">
        <v>26</v>
      </c>
      <c r="C452" s="8" t="s">
        <v>1392</v>
      </c>
      <c r="D452" s="8" t="s">
        <v>1393</v>
      </c>
      <c r="E452" s="19">
        <v>46078</v>
      </c>
      <c r="F452" s="19">
        <v>46108</v>
      </c>
      <c r="G452" s="8">
        <v>47163.42</v>
      </c>
      <c r="H452" s="8" t="s">
        <v>15</v>
      </c>
      <c r="I452" s="8" t="s">
        <v>29</v>
      </c>
      <c r="J452" s="8" t="s">
        <v>17</v>
      </c>
      <c r="K452" s="8" t="s">
        <v>63</v>
      </c>
      <c r="L452" t="str">
        <f t="shared" si="28"/>
        <v>Unique</v>
      </c>
      <c r="M452" s="8" t="str">
        <f>IF(COUNTIF(Payments_Raw!$B:$B,A452)=0,"Unpaid",IF(N452&gt;=G452,"Paid",IF(N452&gt;0,"Partial Payment",IF(COUNTIFS(Payments_Raw!$B:$B,A452,Payments_Raw!$F:$F,"Failed")&gt;0,"Failed",IF(COUNTIFS(Payments_Raw!$B:$B,A452,Payments_Raw!$F:$F,"Pending")&gt;0,"Pending","Unpaid")))))</f>
        <v>Paid</v>
      </c>
      <c r="N452" s="8">
        <f>SUMIFS(Payments_Raw!$E:$E,Payments_Raw!$B:$B,A452,Payments_Raw!$F:$F,"Successful")</f>
        <v>47163.42</v>
      </c>
      <c r="O452" s="26">
        <f t="shared" si="29"/>
        <v>0</v>
      </c>
      <c r="P452" s="9" t="str">
        <f t="shared" si="30"/>
        <v>No Exception</v>
      </c>
      <c r="Q452" s="14" t="str">
        <f t="shared" si="31"/>
        <v>Not Overdue</v>
      </c>
      <c r="R452" s="14"/>
    </row>
    <row r="453" spans="1:18" x14ac:dyDescent="0.25">
      <c r="A453" s="18" t="s">
        <v>1394</v>
      </c>
      <c r="B453" s="8" t="s">
        <v>170</v>
      </c>
      <c r="C453" s="8" t="s">
        <v>1395</v>
      </c>
      <c r="D453" s="8" t="s">
        <v>1396</v>
      </c>
      <c r="E453" s="19">
        <v>46281</v>
      </c>
      <c r="F453" s="19">
        <v>46311</v>
      </c>
      <c r="G453" s="8">
        <v>3469.74</v>
      </c>
      <c r="H453" s="8" t="s">
        <v>15</v>
      </c>
      <c r="I453" s="8" t="s">
        <v>29</v>
      </c>
      <c r="J453" s="8" t="s">
        <v>17</v>
      </c>
      <c r="K453" s="8" t="s">
        <v>24</v>
      </c>
      <c r="L453" t="str">
        <f t="shared" si="28"/>
        <v>Unique</v>
      </c>
      <c r="M453" s="8" t="str">
        <f>IF(COUNTIF(Payments_Raw!$B:$B,A453)=0,"Unpaid",IF(N453&gt;=G453,"Paid",IF(N453&gt;0,"Partial Payment",IF(COUNTIFS(Payments_Raw!$B:$B,A453,Payments_Raw!$F:$F,"Failed")&gt;0,"Failed",IF(COUNTIFS(Payments_Raw!$B:$B,A453,Payments_Raw!$F:$F,"Pending")&gt;0,"Pending","Unpaid")))))</f>
        <v>Paid</v>
      </c>
      <c r="N453" s="8">
        <f>SUMIFS(Payments_Raw!$E:$E,Payments_Raw!$B:$B,A453,Payments_Raw!$F:$F,"Successful")</f>
        <v>3469.74</v>
      </c>
      <c r="O453" s="26">
        <f t="shared" si="29"/>
        <v>0</v>
      </c>
      <c r="P453" s="9" t="str">
        <f t="shared" si="30"/>
        <v>No Exception</v>
      </c>
      <c r="Q453" s="14" t="str">
        <f t="shared" si="31"/>
        <v>Not Overdue</v>
      </c>
      <c r="R453" s="14"/>
    </row>
    <row r="454" spans="1:18" x14ac:dyDescent="0.25">
      <c r="A454" s="18" t="s">
        <v>1397</v>
      </c>
      <c r="B454" s="8" t="s">
        <v>75</v>
      </c>
      <c r="C454" s="8" t="s">
        <v>1398</v>
      </c>
      <c r="D454" s="8" t="s">
        <v>1399</v>
      </c>
      <c r="E454" s="19">
        <v>46283</v>
      </c>
      <c r="F454" s="19">
        <v>46298</v>
      </c>
      <c r="G454" s="8">
        <v>19553.310000000001</v>
      </c>
      <c r="H454" s="8" t="s">
        <v>15</v>
      </c>
      <c r="I454" s="8" t="s">
        <v>39</v>
      </c>
      <c r="J454" s="8" t="s">
        <v>30</v>
      </c>
      <c r="K454" s="8" t="s">
        <v>63</v>
      </c>
      <c r="L454" t="str">
        <f t="shared" si="28"/>
        <v>Unique</v>
      </c>
      <c r="M454" s="8" t="str">
        <f>IF(COUNTIF(Payments_Raw!$B:$B,A454)=0,"Unpaid",IF(N454&gt;=G454,"Paid",IF(N454&gt;0,"Partial Payment",IF(COUNTIFS(Payments_Raw!$B:$B,A454,Payments_Raw!$F:$F,"Failed")&gt;0,"Failed",IF(COUNTIFS(Payments_Raw!$B:$B,A454,Payments_Raw!$F:$F,"Pending")&gt;0,"Pending","Unpaid")))))</f>
        <v>Paid</v>
      </c>
      <c r="N454" s="8">
        <f>SUMIFS(Payments_Raw!$E:$E,Payments_Raw!$B:$B,A454,Payments_Raw!$F:$F,"Successful")</f>
        <v>19553.310000000001</v>
      </c>
      <c r="O454" s="26">
        <f t="shared" si="29"/>
        <v>0</v>
      </c>
      <c r="P454" s="9" t="str">
        <f t="shared" si="30"/>
        <v>No Exception</v>
      </c>
      <c r="Q454" s="14" t="str">
        <f t="shared" si="31"/>
        <v>Not Overdue</v>
      </c>
      <c r="R454" s="14"/>
    </row>
    <row r="455" spans="1:18" x14ac:dyDescent="0.25">
      <c r="A455" s="18" t="s">
        <v>1400</v>
      </c>
      <c r="B455" s="8" t="s">
        <v>138</v>
      </c>
      <c r="C455" s="8" t="s">
        <v>1401</v>
      </c>
      <c r="D455" s="8" t="s">
        <v>1402</v>
      </c>
      <c r="E455" s="19">
        <v>46187</v>
      </c>
      <c r="F455" s="19">
        <v>46232</v>
      </c>
      <c r="G455" s="8">
        <v>12662.26</v>
      </c>
      <c r="H455" s="8" t="s">
        <v>15</v>
      </c>
      <c r="I455" s="8" t="s">
        <v>39</v>
      </c>
      <c r="J455" s="8" t="s">
        <v>17</v>
      </c>
      <c r="K455" s="8" t="s">
        <v>63</v>
      </c>
      <c r="L455" t="str">
        <f t="shared" si="28"/>
        <v>Unique</v>
      </c>
      <c r="M455" s="8" t="str">
        <f>IF(COUNTIF(Payments_Raw!$B:$B,A455)=0,"Unpaid",IF(N455&gt;=G455,"Paid",IF(N455&gt;0,"Partial Payment",IF(COUNTIFS(Payments_Raw!$B:$B,A455,Payments_Raw!$F:$F,"Failed")&gt;0,"Failed",IF(COUNTIFS(Payments_Raw!$B:$B,A455,Payments_Raw!$F:$F,"Pending")&gt;0,"Pending","Unpaid")))))</f>
        <v>Failed</v>
      </c>
      <c r="N455" s="8">
        <f>SUMIFS(Payments_Raw!$E:$E,Payments_Raw!$B:$B,A455,Payments_Raw!$F:$F,"Successful")</f>
        <v>0</v>
      </c>
      <c r="O455" s="26">
        <f t="shared" si="29"/>
        <v>12662.26</v>
      </c>
      <c r="P455" s="9" t="str">
        <f t="shared" si="30"/>
        <v>Failed Payment</v>
      </c>
      <c r="Q455" s="14" t="str">
        <f t="shared" si="31"/>
        <v>Overdue</v>
      </c>
      <c r="R455" s="14"/>
    </row>
    <row r="456" spans="1:18" x14ac:dyDescent="0.25">
      <c r="A456" s="18" t="s">
        <v>1403</v>
      </c>
      <c r="B456" s="8" t="s">
        <v>163</v>
      </c>
      <c r="C456" s="8" t="s">
        <v>1404</v>
      </c>
      <c r="D456" s="8" t="s">
        <v>1405</v>
      </c>
      <c r="E456" s="19">
        <v>46254</v>
      </c>
      <c r="F456" s="19">
        <v>46269</v>
      </c>
      <c r="G456" s="8">
        <v>20143.349999999999</v>
      </c>
      <c r="H456" s="8" t="s">
        <v>15</v>
      </c>
      <c r="I456" s="8" t="s">
        <v>23</v>
      </c>
      <c r="J456" s="8" t="s">
        <v>17</v>
      </c>
      <c r="K456" s="8" t="s">
        <v>24</v>
      </c>
      <c r="L456" t="str">
        <f t="shared" si="28"/>
        <v>Unique</v>
      </c>
      <c r="M456" s="8" t="str">
        <f>IF(COUNTIF(Payments_Raw!$B:$B,A456)=0,"Unpaid",IF(N456&gt;=G456,"Paid",IF(N456&gt;0,"Partial Payment",IF(COUNTIFS(Payments_Raw!$B:$B,A456,Payments_Raw!$F:$F,"Failed")&gt;0,"Failed",IF(COUNTIFS(Payments_Raw!$B:$B,A456,Payments_Raw!$F:$F,"Pending")&gt;0,"Pending","Unpaid")))))</f>
        <v>Paid</v>
      </c>
      <c r="N456" s="8">
        <f>SUMIFS(Payments_Raw!$E:$E,Payments_Raw!$B:$B,A456,Payments_Raw!$F:$F,"Successful")</f>
        <v>20143.349999999999</v>
      </c>
      <c r="O456" s="26">
        <f t="shared" si="29"/>
        <v>0</v>
      </c>
      <c r="P456" s="9" t="str">
        <f t="shared" si="30"/>
        <v>No Exception</v>
      </c>
      <c r="Q456" s="14" t="str">
        <f t="shared" si="31"/>
        <v>Not Overdue</v>
      </c>
      <c r="R456" s="14"/>
    </row>
    <row r="457" spans="1:18" x14ac:dyDescent="0.25">
      <c r="A457" s="18" t="s">
        <v>1406</v>
      </c>
      <c r="B457" s="8" t="s">
        <v>32</v>
      </c>
      <c r="C457" s="8" t="s">
        <v>1407</v>
      </c>
      <c r="D457" s="8" t="s">
        <v>1408</v>
      </c>
      <c r="E457" s="19">
        <v>46183</v>
      </c>
      <c r="F457" s="19">
        <v>46213</v>
      </c>
      <c r="G457" s="8">
        <v>17831.43</v>
      </c>
      <c r="H457" s="8" t="s">
        <v>15</v>
      </c>
      <c r="I457" s="8" t="s">
        <v>16</v>
      </c>
      <c r="J457" s="8" t="s">
        <v>17</v>
      </c>
      <c r="K457" s="8" t="s">
        <v>63</v>
      </c>
      <c r="L457" t="str">
        <f t="shared" si="28"/>
        <v>Unique</v>
      </c>
      <c r="M457" s="8" t="str">
        <f>IF(COUNTIF(Payments_Raw!$B:$B,A457)=0,"Unpaid",IF(N457&gt;=G457,"Paid",IF(N457&gt;0,"Partial Payment",IF(COUNTIFS(Payments_Raw!$B:$B,A457,Payments_Raw!$F:$F,"Failed")&gt;0,"Failed",IF(COUNTIFS(Payments_Raw!$B:$B,A457,Payments_Raw!$F:$F,"Pending")&gt;0,"Pending","Unpaid")))))</f>
        <v>Paid</v>
      </c>
      <c r="N457" s="8">
        <f>SUMIFS(Payments_Raw!$E:$E,Payments_Raw!$B:$B,A457,Payments_Raw!$F:$F,"Successful")</f>
        <v>17831.43</v>
      </c>
      <c r="O457" s="26">
        <f t="shared" si="29"/>
        <v>0</v>
      </c>
      <c r="P457" s="9" t="str">
        <f t="shared" si="30"/>
        <v>No Exception</v>
      </c>
      <c r="Q457" s="14" t="str">
        <f t="shared" si="31"/>
        <v>Not Overdue</v>
      </c>
      <c r="R457" s="14"/>
    </row>
    <row r="458" spans="1:18" x14ac:dyDescent="0.25">
      <c r="A458" s="18" t="s">
        <v>1409</v>
      </c>
      <c r="B458" s="8" t="s">
        <v>57</v>
      </c>
      <c r="C458" s="8" t="s">
        <v>1410</v>
      </c>
      <c r="D458" s="8" t="s">
        <v>1411</v>
      </c>
      <c r="E458" s="19">
        <v>46090</v>
      </c>
      <c r="F458" s="19">
        <v>46135</v>
      </c>
      <c r="G458" s="8">
        <v>24535.63</v>
      </c>
      <c r="H458" s="8" t="s">
        <v>15</v>
      </c>
      <c r="I458" s="8" t="s">
        <v>16</v>
      </c>
      <c r="J458" s="8" t="s">
        <v>17</v>
      </c>
      <c r="K458" s="8" t="s">
        <v>24</v>
      </c>
      <c r="L458" t="str">
        <f t="shared" si="28"/>
        <v>Unique</v>
      </c>
      <c r="M458" s="8" t="str">
        <f>IF(COUNTIF(Payments_Raw!$B:$B,A458)=0,"Unpaid",IF(N458&gt;=G458,"Paid",IF(N458&gt;0,"Partial Payment",IF(COUNTIFS(Payments_Raw!$B:$B,A458,Payments_Raw!$F:$F,"Failed")&gt;0,"Failed",IF(COUNTIFS(Payments_Raw!$B:$B,A458,Payments_Raw!$F:$F,"Pending")&gt;0,"Pending","Unpaid")))))</f>
        <v>Paid</v>
      </c>
      <c r="N458" s="8">
        <f>SUMIFS(Payments_Raw!$E:$E,Payments_Raw!$B:$B,A458,Payments_Raw!$F:$F,"Successful")</f>
        <v>24535.63</v>
      </c>
      <c r="O458" s="26">
        <f t="shared" si="29"/>
        <v>0</v>
      </c>
      <c r="P458" s="9" t="str">
        <f t="shared" si="30"/>
        <v>No Exception</v>
      </c>
      <c r="Q458" s="14" t="str">
        <f t="shared" si="31"/>
        <v>Not Overdue</v>
      </c>
      <c r="R458" s="14"/>
    </row>
    <row r="459" spans="1:18" x14ac:dyDescent="0.25">
      <c r="A459" s="18" t="s">
        <v>1412</v>
      </c>
      <c r="B459" s="8" t="s">
        <v>45</v>
      </c>
      <c r="C459" s="8" t="s">
        <v>1413</v>
      </c>
      <c r="D459" s="8" t="s">
        <v>1414</v>
      </c>
      <c r="E459" s="19">
        <v>46203</v>
      </c>
      <c r="F459" s="19">
        <v>46233</v>
      </c>
      <c r="G459" s="8">
        <v>14109.53</v>
      </c>
      <c r="H459" s="8" t="s">
        <v>15</v>
      </c>
      <c r="I459" s="8" t="s">
        <v>16</v>
      </c>
      <c r="J459" s="8" t="s">
        <v>17</v>
      </c>
      <c r="K459" s="8" t="s">
        <v>24</v>
      </c>
      <c r="L459" t="str">
        <f t="shared" si="28"/>
        <v>Unique</v>
      </c>
      <c r="M459" s="8" t="str">
        <f>IF(COUNTIF(Payments_Raw!$B:$B,A459)=0,"Unpaid",IF(N459&gt;=G459,"Paid",IF(N459&gt;0,"Partial Payment",IF(COUNTIFS(Payments_Raw!$B:$B,A459,Payments_Raw!$F:$F,"Failed")&gt;0,"Failed",IF(COUNTIFS(Payments_Raw!$B:$B,A459,Payments_Raw!$F:$F,"Pending")&gt;0,"Pending","Unpaid")))))</f>
        <v>Unpaid</v>
      </c>
      <c r="N459" s="8">
        <f>SUMIFS(Payments_Raw!$E:$E,Payments_Raw!$B:$B,A459,Payments_Raw!$F:$F,"Successful")</f>
        <v>0</v>
      </c>
      <c r="O459" s="26">
        <f t="shared" si="29"/>
        <v>14109.53</v>
      </c>
      <c r="P459" s="9" t="str">
        <f t="shared" si="30"/>
        <v>Unpaid Invoice</v>
      </c>
      <c r="Q459" s="14" t="str">
        <f t="shared" si="31"/>
        <v>Overdue</v>
      </c>
      <c r="R459" s="14"/>
    </row>
    <row r="460" spans="1:18" x14ac:dyDescent="0.25">
      <c r="A460" s="18" t="s">
        <v>1415</v>
      </c>
      <c r="B460" s="8" t="s">
        <v>163</v>
      </c>
      <c r="C460" s="8" t="s">
        <v>1416</v>
      </c>
      <c r="D460" s="8" t="s">
        <v>1417</v>
      </c>
      <c r="E460" s="19">
        <v>46239</v>
      </c>
      <c r="F460" s="19">
        <v>46254</v>
      </c>
      <c r="G460" s="8">
        <v>20230.62</v>
      </c>
      <c r="H460" s="8" t="s">
        <v>15</v>
      </c>
      <c r="I460" s="8" t="s">
        <v>29</v>
      </c>
      <c r="J460" s="8" t="s">
        <v>17</v>
      </c>
      <c r="K460" s="8" t="s">
        <v>18</v>
      </c>
      <c r="L460" t="str">
        <f t="shared" si="28"/>
        <v>Unique</v>
      </c>
      <c r="M460" s="8" t="str">
        <f>IF(COUNTIF(Payments_Raw!$B:$B,A460)=0,"Unpaid",IF(N460&gt;=G460,"Paid",IF(N460&gt;0,"Partial Payment",IF(COUNTIFS(Payments_Raw!$B:$B,A460,Payments_Raw!$F:$F,"Failed")&gt;0,"Failed",IF(COUNTIFS(Payments_Raw!$B:$B,A460,Payments_Raw!$F:$F,"Pending")&gt;0,"Pending","Unpaid")))))</f>
        <v>Paid</v>
      </c>
      <c r="N460" s="8">
        <f>SUMIFS(Payments_Raw!$E:$E,Payments_Raw!$B:$B,A460,Payments_Raw!$F:$F,"Successful")</f>
        <v>21849.07</v>
      </c>
      <c r="O460" s="26">
        <f t="shared" si="29"/>
        <v>-1618.4500000000007</v>
      </c>
      <c r="P460" s="9" t="str">
        <f t="shared" si="30"/>
        <v>No Exception</v>
      </c>
      <c r="Q460" s="14" t="str">
        <f t="shared" si="31"/>
        <v>Not Overdue</v>
      </c>
      <c r="R460" s="14"/>
    </row>
    <row r="461" spans="1:18" x14ac:dyDescent="0.25">
      <c r="A461" s="18" t="s">
        <v>1418</v>
      </c>
      <c r="B461" s="8" t="s">
        <v>49</v>
      </c>
      <c r="C461" s="8" t="s">
        <v>1419</v>
      </c>
      <c r="D461" s="8" t="s">
        <v>1420</v>
      </c>
      <c r="E461" s="19">
        <v>46105</v>
      </c>
      <c r="F461" s="19">
        <v>46135</v>
      </c>
      <c r="G461" s="8">
        <v>24590.29</v>
      </c>
      <c r="H461" s="8" t="s">
        <v>15</v>
      </c>
      <c r="I461" s="8" t="s">
        <v>29</v>
      </c>
      <c r="J461" s="8" t="s">
        <v>17</v>
      </c>
      <c r="K461" s="8" t="s">
        <v>18</v>
      </c>
      <c r="L461" t="str">
        <f t="shared" si="28"/>
        <v>Unique</v>
      </c>
      <c r="M461" s="8" t="str">
        <f>IF(COUNTIF(Payments_Raw!$B:$B,A461)=0,"Unpaid",IF(N461&gt;=G461,"Paid",IF(N461&gt;0,"Partial Payment",IF(COUNTIFS(Payments_Raw!$B:$B,A461,Payments_Raw!$F:$F,"Failed")&gt;0,"Failed",IF(COUNTIFS(Payments_Raw!$B:$B,A461,Payments_Raw!$F:$F,"Pending")&gt;0,"Pending","Unpaid")))))</f>
        <v>Unpaid</v>
      </c>
      <c r="N461" s="8">
        <f>SUMIFS(Payments_Raw!$E:$E,Payments_Raw!$B:$B,A461,Payments_Raw!$F:$F,"Successful")</f>
        <v>0</v>
      </c>
      <c r="O461" s="26">
        <f t="shared" si="29"/>
        <v>24590.29</v>
      </c>
      <c r="P461" s="9" t="str">
        <f t="shared" si="30"/>
        <v>Unpaid Invoice</v>
      </c>
      <c r="Q461" s="14" t="str">
        <f t="shared" si="31"/>
        <v>Overdue</v>
      </c>
      <c r="R461" s="14"/>
    </row>
    <row r="462" spans="1:18" x14ac:dyDescent="0.25">
      <c r="A462" s="18" t="s">
        <v>1421</v>
      </c>
      <c r="B462" s="8" t="s">
        <v>32</v>
      </c>
      <c r="C462" s="8" t="s">
        <v>1422</v>
      </c>
      <c r="D462" s="8" t="s">
        <v>1423</v>
      </c>
      <c r="E462" s="19">
        <v>46039</v>
      </c>
      <c r="F462" s="19">
        <v>46069</v>
      </c>
      <c r="G462" s="8">
        <v>9044.02</v>
      </c>
      <c r="H462" s="8" t="s">
        <v>15</v>
      </c>
      <c r="I462" s="8" t="s">
        <v>39</v>
      </c>
      <c r="J462" s="8" t="s">
        <v>17</v>
      </c>
      <c r="K462" s="8" t="s">
        <v>24</v>
      </c>
      <c r="L462" t="str">
        <f t="shared" si="28"/>
        <v>Unique</v>
      </c>
      <c r="M462" s="8" t="str">
        <f>IF(COUNTIF(Payments_Raw!$B:$B,A462)=0,"Unpaid",IF(N462&gt;=G462,"Paid",IF(N462&gt;0,"Partial Payment",IF(COUNTIFS(Payments_Raw!$B:$B,A462,Payments_Raw!$F:$F,"Failed")&gt;0,"Failed",IF(COUNTIFS(Payments_Raw!$B:$B,A462,Payments_Raw!$F:$F,"Pending")&gt;0,"Pending","Unpaid")))))</f>
        <v>Partial Payment</v>
      </c>
      <c r="N462" s="8">
        <f>SUMIFS(Payments_Raw!$E:$E,Payments_Raw!$B:$B,A462,Payments_Raw!$F:$F,"Successful")</f>
        <v>8591.82</v>
      </c>
      <c r="O462" s="26">
        <f t="shared" si="29"/>
        <v>452.20000000000073</v>
      </c>
      <c r="P462" s="9" t="str">
        <f t="shared" si="30"/>
        <v>Amount Mismatch</v>
      </c>
      <c r="Q462" s="14" t="str">
        <f t="shared" si="31"/>
        <v>Overdue</v>
      </c>
      <c r="R462" s="14"/>
    </row>
    <row r="463" spans="1:18" x14ac:dyDescent="0.25">
      <c r="A463" s="18" t="s">
        <v>1424</v>
      </c>
      <c r="B463" s="8" t="s">
        <v>32</v>
      </c>
      <c r="C463" s="8" t="s">
        <v>1425</v>
      </c>
      <c r="D463" s="8" t="s">
        <v>1426</v>
      </c>
      <c r="E463" s="19">
        <v>46222</v>
      </c>
      <c r="F463" s="19">
        <v>46252</v>
      </c>
      <c r="G463" s="8">
        <v>6031.38</v>
      </c>
      <c r="H463" s="8" t="s">
        <v>15</v>
      </c>
      <c r="I463" s="8" t="s">
        <v>16</v>
      </c>
      <c r="J463" s="8" t="s">
        <v>17</v>
      </c>
      <c r="K463" s="8" t="s">
        <v>63</v>
      </c>
      <c r="L463" t="str">
        <f t="shared" si="28"/>
        <v>Unique</v>
      </c>
      <c r="M463" s="8" t="str">
        <f>IF(COUNTIF(Payments_Raw!$B:$B,A463)=0,"Unpaid",IF(N463&gt;=G463,"Paid",IF(N463&gt;0,"Partial Payment",IF(COUNTIFS(Payments_Raw!$B:$B,A463,Payments_Raw!$F:$F,"Failed")&gt;0,"Failed",IF(COUNTIFS(Payments_Raw!$B:$B,A463,Payments_Raw!$F:$F,"Pending")&gt;0,"Pending","Unpaid")))))</f>
        <v>Unpaid</v>
      </c>
      <c r="N463" s="8">
        <f>SUMIFS(Payments_Raw!$E:$E,Payments_Raw!$B:$B,A463,Payments_Raw!$F:$F,"Successful")</f>
        <v>0</v>
      </c>
      <c r="O463" s="26">
        <f t="shared" si="29"/>
        <v>6031.38</v>
      </c>
      <c r="P463" s="9" t="str">
        <f t="shared" si="30"/>
        <v>Unpaid Invoice</v>
      </c>
      <c r="Q463" s="14" t="str">
        <f t="shared" si="31"/>
        <v>Overdue</v>
      </c>
      <c r="R463" s="14"/>
    </row>
    <row r="464" spans="1:18" x14ac:dyDescent="0.25">
      <c r="A464" s="18" t="s">
        <v>1427</v>
      </c>
      <c r="B464" s="8" t="s">
        <v>85</v>
      </c>
      <c r="C464" s="8" t="s">
        <v>1428</v>
      </c>
      <c r="D464" s="8" t="s">
        <v>1429</v>
      </c>
      <c r="E464" s="19">
        <v>46183</v>
      </c>
      <c r="F464" s="19">
        <v>46228</v>
      </c>
      <c r="G464" s="8">
        <v>51028.45</v>
      </c>
      <c r="H464" s="8" t="s">
        <v>15</v>
      </c>
      <c r="I464" s="8" t="s">
        <v>23</v>
      </c>
      <c r="J464" s="8" t="s">
        <v>17</v>
      </c>
      <c r="K464" s="8" t="s">
        <v>63</v>
      </c>
      <c r="L464" t="str">
        <f t="shared" si="28"/>
        <v>Unique</v>
      </c>
      <c r="M464" s="8" t="str">
        <f>IF(COUNTIF(Payments_Raw!$B:$B,A464)=0,"Unpaid",IF(N464&gt;=G464,"Paid",IF(N464&gt;0,"Partial Payment",IF(COUNTIFS(Payments_Raw!$B:$B,A464,Payments_Raw!$F:$F,"Failed")&gt;0,"Failed",IF(COUNTIFS(Payments_Raw!$B:$B,A464,Payments_Raw!$F:$F,"Pending")&gt;0,"Pending","Unpaid")))))</f>
        <v>Paid</v>
      </c>
      <c r="N464" s="8">
        <f>SUMIFS(Payments_Raw!$E:$E,Payments_Raw!$B:$B,A464,Payments_Raw!$F:$F,"Successful")</f>
        <v>51028.45</v>
      </c>
      <c r="O464" s="26">
        <f t="shared" si="29"/>
        <v>0</v>
      </c>
      <c r="P464" s="9" t="str">
        <f t="shared" si="30"/>
        <v>No Exception</v>
      </c>
      <c r="Q464" s="14" t="str">
        <f t="shared" si="31"/>
        <v>Not Overdue</v>
      </c>
      <c r="R464" s="14"/>
    </row>
    <row r="465" spans="1:18" x14ac:dyDescent="0.25">
      <c r="A465" s="18" t="s">
        <v>1430</v>
      </c>
      <c r="B465" s="8" t="s">
        <v>20</v>
      </c>
      <c r="C465" s="8" t="s">
        <v>1431</v>
      </c>
      <c r="D465" s="8" t="s">
        <v>1432</v>
      </c>
      <c r="E465" s="19">
        <v>46211</v>
      </c>
      <c r="F465" s="19">
        <v>46226</v>
      </c>
      <c r="G465" s="8">
        <v>18907.080000000002</v>
      </c>
      <c r="H465" s="8" t="s">
        <v>15</v>
      </c>
      <c r="I465" s="8" t="s">
        <v>39</v>
      </c>
      <c r="J465" s="8" t="s">
        <v>17</v>
      </c>
      <c r="K465" s="8" t="s">
        <v>63</v>
      </c>
      <c r="L465" t="str">
        <f t="shared" si="28"/>
        <v>Unique</v>
      </c>
      <c r="M465" s="8" t="str">
        <f>IF(COUNTIF(Payments_Raw!$B:$B,A465)=0,"Unpaid",IF(N465&gt;=G465,"Paid",IF(N465&gt;0,"Partial Payment",IF(COUNTIFS(Payments_Raw!$B:$B,A465,Payments_Raw!$F:$F,"Failed")&gt;0,"Failed",IF(COUNTIFS(Payments_Raw!$B:$B,A465,Payments_Raw!$F:$F,"Pending")&gt;0,"Pending","Unpaid")))))</f>
        <v>Paid</v>
      </c>
      <c r="N465" s="8">
        <f>SUMIFS(Payments_Raw!$E:$E,Payments_Raw!$B:$B,A465,Payments_Raw!$F:$F,"Successful")</f>
        <v>18907.080000000002</v>
      </c>
      <c r="O465" s="26">
        <f t="shared" si="29"/>
        <v>0</v>
      </c>
      <c r="P465" s="9" t="str">
        <f t="shared" si="30"/>
        <v>No Exception</v>
      </c>
      <c r="Q465" s="14" t="str">
        <f t="shared" si="31"/>
        <v>Not Overdue</v>
      </c>
      <c r="R465" s="14"/>
    </row>
    <row r="466" spans="1:18" x14ac:dyDescent="0.25">
      <c r="A466" s="18" t="s">
        <v>1433</v>
      </c>
      <c r="B466" s="8" t="s">
        <v>112</v>
      </c>
      <c r="C466" s="8" t="s">
        <v>1434</v>
      </c>
      <c r="D466" s="8" t="s">
        <v>1435</v>
      </c>
      <c r="E466" s="19">
        <v>46113</v>
      </c>
      <c r="F466" s="19">
        <v>46128</v>
      </c>
      <c r="G466" s="8">
        <v>58686.63</v>
      </c>
      <c r="H466" s="8" t="s">
        <v>15</v>
      </c>
      <c r="I466" s="8" t="s">
        <v>16</v>
      </c>
      <c r="J466" s="8" t="s">
        <v>17</v>
      </c>
      <c r="K466" s="8" t="s">
        <v>24</v>
      </c>
      <c r="L466" t="str">
        <f t="shared" si="28"/>
        <v>Unique</v>
      </c>
      <c r="M466" s="8" t="str">
        <f>IF(COUNTIF(Payments_Raw!$B:$B,A466)=0,"Unpaid",IF(N466&gt;=G466,"Paid",IF(N466&gt;0,"Partial Payment",IF(COUNTIFS(Payments_Raw!$B:$B,A466,Payments_Raw!$F:$F,"Failed")&gt;0,"Failed",IF(COUNTIFS(Payments_Raw!$B:$B,A466,Payments_Raw!$F:$F,"Pending")&gt;0,"Pending","Unpaid")))))</f>
        <v>Unpaid</v>
      </c>
      <c r="N466" s="8">
        <f>SUMIFS(Payments_Raw!$E:$E,Payments_Raw!$B:$B,A466,Payments_Raw!$F:$F,"Successful")</f>
        <v>0</v>
      </c>
      <c r="O466" s="26">
        <f t="shared" si="29"/>
        <v>58686.63</v>
      </c>
      <c r="P466" s="9" t="str">
        <f t="shared" si="30"/>
        <v>Unpaid Invoice</v>
      </c>
      <c r="Q466" s="14" t="str">
        <f t="shared" si="31"/>
        <v>Not Overdue</v>
      </c>
      <c r="R466" s="14"/>
    </row>
    <row r="467" spans="1:18" x14ac:dyDescent="0.25">
      <c r="A467" s="18" t="s">
        <v>1436</v>
      </c>
      <c r="B467" s="8" t="s">
        <v>49</v>
      </c>
      <c r="C467" s="8" t="s">
        <v>1437</v>
      </c>
      <c r="D467" s="8" t="s">
        <v>1438</v>
      </c>
      <c r="E467" s="19">
        <v>46089</v>
      </c>
      <c r="F467" s="19">
        <v>46119</v>
      </c>
      <c r="G467" s="8">
        <v>4123.91</v>
      </c>
      <c r="H467" s="8" t="s">
        <v>15</v>
      </c>
      <c r="I467" s="8" t="s">
        <v>16</v>
      </c>
      <c r="J467" s="8" t="s">
        <v>17</v>
      </c>
      <c r="K467" s="8" t="s">
        <v>18</v>
      </c>
      <c r="L467" t="str">
        <f t="shared" si="28"/>
        <v>Unique</v>
      </c>
      <c r="M467" s="8" t="str">
        <f>IF(COUNTIF(Payments_Raw!$B:$B,A467)=0,"Unpaid",IF(N467&gt;=G467,"Paid",IF(N467&gt;0,"Partial Payment",IF(COUNTIFS(Payments_Raw!$B:$B,A467,Payments_Raw!$F:$F,"Failed")&gt;0,"Failed",IF(COUNTIFS(Payments_Raw!$B:$B,A467,Payments_Raw!$F:$F,"Pending")&gt;0,"Pending","Unpaid")))))</f>
        <v>Unpaid</v>
      </c>
      <c r="N467" s="8">
        <f>SUMIFS(Payments_Raw!$E:$E,Payments_Raw!$B:$B,A467,Payments_Raw!$F:$F,"Successful")</f>
        <v>0</v>
      </c>
      <c r="O467" s="26">
        <f t="shared" si="29"/>
        <v>4123.91</v>
      </c>
      <c r="P467" s="9" t="str">
        <f t="shared" si="30"/>
        <v>Unpaid Invoice</v>
      </c>
      <c r="Q467" s="14" t="str">
        <f t="shared" si="31"/>
        <v>Overdue</v>
      </c>
      <c r="R467" s="14"/>
    </row>
    <row r="468" spans="1:18" x14ac:dyDescent="0.25">
      <c r="A468" s="18" t="s">
        <v>1439</v>
      </c>
      <c r="B468" s="8" t="s">
        <v>122</v>
      </c>
      <c r="C468" s="8" t="s">
        <v>1440</v>
      </c>
      <c r="D468" s="8" t="s">
        <v>1441</v>
      </c>
      <c r="E468" s="19">
        <v>46188</v>
      </c>
      <c r="F468" s="19">
        <v>46203</v>
      </c>
      <c r="G468" s="8">
        <v>14970.38</v>
      </c>
      <c r="H468" s="8" t="s">
        <v>15</v>
      </c>
      <c r="I468" s="8" t="s">
        <v>39</v>
      </c>
      <c r="J468" s="8" t="s">
        <v>17</v>
      </c>
      <c r="K468" s="8" t="s">
        <v>24</v>
      </c>
      <c r="L468" t="str">
        <f t="shared" si="28"/>
        <v>Unique</v>
      </c>
      <c r="M468" s="8" t="str">
        <f>IF(COUNTIF(Payments_Raw!$B:$B,A468)=0,"Unpaid",IF(N468&gt;=G468,"Paid",IF(N468&gt;0,"Partial Payment",IF(COUNTIFS(Payments_Raw!$B:$B,A468,Payments_Raw!$F:$F,"Failed")&gt;0,"Failed",IF(COUNTIFS(Payments_Raw!$B:$B,A468,Payments_Raw!$F:$F,"Pending")&gt;0,"Pending","Unpaid")))))</f>
        <v>Paid</v>
      </c>
      <c r="N468" s="8">
        <f>SUMIFS(Payments_Raw!$E:$E,Payments_Raw!$B:$B,A468,Payments_Raw!$F:$F,"Successful")</f>
        <v>14970.38</v>
      </c>
      <c r="O468" s="26">
        <f t="shared" si="29"/>
        <v>0</v>
      </c>
      <c r="P468" s="9" t="str">
        <f t="shared" si="30"/>
        <v>No Exception</v>
      </c>
      <c r="Q468" s="14" t="str">
        <f t="shared" si="31"/>
        <v>Not Overdue</v>
      </c>
      <c r="R468" s="14"/>
    </row>
    <row r="469" spans="1:18" x14ac:dyDescent="0.25">
      <c r="A469" s="18" t="s">
        <v>1442</v>
      </c>
      <c r="B469" s="8" t="s">
        <v>32</v>
      </c>
      <c r="C469" s="8" t="s">
        <v>1443</v>
      </c>
      <c r="D469" s="8" t="s">
        <v>1444</v>
      </c>
      <c r="E469" s="19">
        <v>46206</v>
      </c>
      <c r="F469" s="19">
        <v>46236</v>
      </c>
      <c r="G469" s="8">
        <v>1933.27</v>
      </c>
      <c r="H469" s="8" t="s">
        <v>15</v>
      </c>
      <c r="I469" s="8" t="s">
        <v>23</v>
      </c>
      <c r="J469" s="8" t="s">
        <v>17</v>
      </c>
      <c r="K469" s="8" t="s">
        <v>24</v>
      </c>
      <c r="L469" t="str">
        <f t="shared" si="28"/>
        <v>Unique</v>
      </c>
      <c r="M469" s="8" t="str">
        <f>IF(COUNTIF(Payments_Raw!$B:$B,A469)=0,"Unpaid",IF(N469&gt;=G469,"Paid",IF(N469&gt;0,"Partial Payment",IF(COUNTIFS(Payments_Raw!$B:$B,A469,Payments_Raw!$F:$F,"Failed")&gt;0,"Failed",IF(COUNTIFS(Payments_Raw!$B:$B,A469,Payments_Raw!$F:$F,"Pending")&gt;0,"Pending","Unpaid")))))</f>
        <v>Pending</v>
      </c>
      <c r="N469" s="8">
        <f>SUMIFS(Payments_Raw!$E:$E,Payments_Raw!$B:$B,A469,Payments_Raw!$F:$F,"Successful")</f>
        <v>0</v>
      </c>
      <c r="O469" s="26">
        <f t="shared" si="29"/>
        <v>1933.27</v>
      </c>
      <c r="P469" s="9" t="str">
        <f t="shared" si="30"/>
        <v>Pending Payment</v>
      </c>
      <c r="Q469" s="14" t="str">
        <f t="shared" si="31"/>
        <v>Overdue</v>
      </c>
      <c r="R469" s="14"/>
    </row>
    <row r="470" spans="1:18" x14ac:dyDescent="0.25">
      <c r="A470" s="18" t="s">
        <v>1445</v>
      </c>
      <c r="B470" s="8" t="s">
        <v>12</v>
      </c>
      <c r="C470" s="8" t="s">
        <v>1446</v>
      </c>
      <c r="D470" s="8" t="s">
        <v>1447</v>
      </c>
      <c r="E470" s="19">
        <v>46235</v>
      </c>
      <c r="F470" s="19">
        <v>46250</v>
      </c>
      <c r="G470" s="8">
        <v>13631.83</v>
      </c>
      <c r="H470" s="8" t="s">
        <v>15</v>
      </c>
      <c r="I470" s="8" t="s">
        <v>23</v>
      </c>
      <c r="J470" s="8" t="s">
        <v>17</v>
      </c>
      <c r="K470" s="8" t="s">
        <v>63</v>
      </c>
      <c r="L470" t="str">
        <f t="shared" si="28"/>
        <v>Unique</v>
      </c>
      <c r="M470" s="8" t="str">
        <f>IF(COUNTIF(Payments_Raw!$B:$B,A470)=0,"Unpaid",IF(N470&gt;=G470,"Paid",IF(N470&gt;0,"Partial Payment",IF(COUNTIFS(Payments_Raw!$B:$B,A470,Payments_Raw!$F:$F,"Failed")&gt;0,"Failed",IF(COUNTIFS(Payments_Raw!$B:$B,A470,Payments_Raw!$F:$F,"Pending")&gt;0,"Pending","Unpaid")))))</f>
        <v>Unpaid</v>
      </c>
      <c r="N470" s="8">
        <f>SUMIFS(Payments_Raw!$E:$E,Payments_Raw!$B:$B,A470,Payments_Raw!$F:$F,"Successful")</f>
        <v>0</v>
      </c>
      <c r="O470" s="26">
        <f t="shared" si="29"/>
        <v>13631.83</v>
      </c>
      <c r="P470" s="9" t="str">
        <f t="shared" si="30"/>
        <v>Unpaid Invoice</v>
      </c>
      <c r="Q470" s="14" t="str">
        <f t="shared" si="31"/>
        <v>Overdue</v>
      </c>
      <c r="R470" s="14"/>
    </row>
    <row r="471" spans="1:18" x14ac:dyDescent="0.25">
      <c r="A471" s="18" t="s">
        <v>1448</v>
      </c>
      <c r="B471" s="8" t="s">
        <v>57</v>
      </c>
      <c r="C471" s="8" t="s">
        <v>1449</v>
      </c>
      <c r="D471" s="8" t="s">
        <v>1450</v>
      </c>
      <c r="E471" s="19">
        <v>46173</v>
      </c>
      <c r="F471" s="19">
        <v>46218</v>
      </c>
      <c r="G471" s="8">
        <v>5554.92</v>
      </c>
      <c r="H471" s="8" t="s">
        <v>15</v>
      </c>
      <c r="I471" s="8" t="s">
        <v>23</v>
      </c>
      <c r="J471" s="8" t="s">
        <v>17</v>
      </c>
      <c r="K471" s="8" t="s">
        <v>24</v>
      </c>
      <c r="L471" t="str">
        <f t="shared" si="28"/>
        <v>Unique</v>
      </c>
      <c r="M471" s="8" t="str">
        <f>IF(COUNTIF(Payments_Raw!$B:$B,A471)=0,"Unpaid",IF(N471&gt;=G471,"Paid",IF(N471&gt;0,"Partial Payment",IF(COUNTIFS(Payments_Raw!$B:$B,A471,Payments_Raw!$F:$F,"Failed")&gt;0,"Failed",IF(COUNTIFS(Payments_Raw!$B:$B,A471,Payments_Raw!$F:$F,"Pending")&gt;0,"Pending","Unpaid")))))</f>
        <v>Paid</v>
      </c>
      <c r="N471" s="8">
        <f>SUMIFS(Payments_Raw!$E:$E,Payments_Raw!$B:$B,A471,Payments_Raw!$F:$F,"Successful")</f>
        <v>5554.92</v>
      </c>
      <c r="O471" s="26">
        <f t="shared" si="29"/>
        <v>0</v>
      </c>
      <c r="P471" s="9" t="str">
        <f t="shared" si="30"/>
        <v>No Exception</v>
      </c>
      <c r="Q471" s="14" t="str">
        <f t="shared" si="31"/>
        <v>Not Overdue</v>
      </c>
      <c r="R471" s="14"/>
    </row>
    <row r="472" spans="1:18" x14ac:dyDescent="0.25">
      <c r="A472" s="18" t="s">
        <v>1451</v>
      </c>
      <c r="B472" s="8" t="s">
        <v>71</v>
      </c>
      <c r="C472" s="8" t="s">
        <v>1452</v>
      </c>
      <c r="D472" s="8" t="s">
        <v>1453</v>
      </c>
      <c r="E472" s="19">
        <v>46081</v>
      </c>
      <c r="F472" s="19">
        <v>46096</v>
      </c>
      <c r="G472" s="8">
        <v>16763.189999999999</v>
      </c>
      <c r="H472" s="8" t="s">
        <v>15</v>
      </c>
      <c r="I472" s="8" t="s">
        <v>23</v>
      </c>
      <c r="J472" s="8" t="s">
        <v>17</v>
      </c>
      <c r="K472" s="8" t="s">
        <v>18</v>
      </c>
      <c r="L472" t="str">
        <f t="shared" si="28"/>
        <v>Unique</v>
      </c>
      <c r="M472" s="8" t="str">
        <f>IF(COUNTIF(Payments_Raw!$B:$B,A472)=0,"Unpaid",IF(N472&gt;=G472,"Paid",IF(N472&gt;0,"Partial Payment",IF(COUNTIFS(Payments_Raw!$B:$B,A472,Payments_Raw!$F:$F,"Failed")&gt;0,"Failed",IF(COUNTIFS(Payments_Raw!$B:$B,A472,Payments_Raw!$F:$F,"Pending")&gt;0,"Pending","Unpaid")))))</f>
        <v>Paid</v>
      </c>
      <c r="N472" s="8">
        <f>SUMIFS(Payments_Raw!$E:$E,Payments_Raw!$B:$B,A472,Payments_Raw!$F:$F,"Successful")</f>
        <v>16763.189999999999</v>
      </c>
      <c r="O472" s="26">
        <f t="shared" si="29"/>
        <v>0</v>
      </c>
      <c r="P472" s="9" t="str">
        <f t="shared" si="30"/>
        <v>No Exception</v>
      </c>
      <c r="Q472" s="14" t="str">
        <f t="shared" si="31"/>
        <v>Not Overdue</v>
      </c>
      <c r="R472" s="14"/>
    </row>
    <row r="473" spans="1:18" x14ac:dyDescent="0.25">
      <c r="A473" s="18" t="s">
        <v>1454</v>
      </c>
      <c r="B473" s="8" t="s">
        <v>26</v>
      </c>
      <c r="C473" s="8" t="s">
        <v>1455</v>
      </c>
      <c r="D473" s="8" t="s">
        <v>1456</v>
      </c>
      <c r="E473" s="19">
        <v>46218</v>
      </c>
      <c r="F473" s="19">
        <v>46248</v>
      </c>
      <c r="G473" s="8">
        <v>22908.400000000001</v>
      </c>
      <c r="H473" s="8" t="s">
        <v>15</v>
      </c>
      <c r="I473" s="8" t="s">
        <v>16</v>
      </c>
      <c r="J473" s="8" t="s">
        <v>17</v>
      </c>
      <c r="K473" s="8" t="s">
        <v>24</v>
      </c>
      <c r="L473" t="str">
        <f t="shared" si="28"/>
        <v>Unique</v>
      </c>
      <c r="M473" s="8" t="str">
        <f>IF(COUNTIF(Payments_Raw!$B:$B,A473)=0,"Unpaid",IF(N473&gt;=G473,"Paid",IF(N473&gt;0,"Partial Payment",IF(COUNTIFS(Payments_Raw!$B:$B,A473,Payments_Raw!$F:$F,"Failed")&gt;0,"Failed",IF(COUNTIFS(Payments_Raw!$B:$B,A473,Payments_Raw!$F:$F,"Pending")&gt;0,"Pending","Unpaid")))))</f>
        <v>Paid</v>
      </c>
      <c r="N473" s="8">
        <f>SUMIFS(Payments_Raw!$E:$E,Payments_Raw!$B:$B,A473,Payments_Raw!$F:$F,"Successful")</f>
        <v>22908.400000000001</v>
      </c>
      <c r="O473" s="26">
        <f t="shared" si="29"/>
        <v>0</v>
      </c>
      <c r="P473" s="9" t="str">
        <f t="shared" si="30"/>
        <v>No Exception</v>
      </c>
      <c r="Q473" s="14" t="str">
        <f t="shared" si="31"/>
        <v>Not Overdue</v>
      </c>
      <c r="R473" s="14"/>
    </row>
    <row r="474" spans="1:18" x14ac:dyDescent="0.25">
      <c r="A474" s="18" t="s">
        <v>1457</v>
      </c>
      <c r="B474" s="8" t="s">
        <v>57</v>
      </c>
      <c r="C474" s="8" t="s">
        <v>1458</v>
      </c>
      <c r="D474" s="8" t="s">
        <v>1459</v>
      </c>
      <c r="E474" s="19">
        <v>46286</v>
      </c>
      <c r="F474" s="19">
        <v>46331</v>
      </c>
      <c r="G474" s="8">
        <v>20094.080000000002</v>
      </c>
      <c r="H474" s="8" t="s">
        <v>15</v>
      </c>
      <c r="I474" s="8" t="s">
        <v>23</v>
      </c>
      <c r="J474" s="8" t="s">
        <v>17</v>
      </c>
      <c r="K474" s="8" t="s">
        <v>24</v>
      </c>
      <c r="L474" t="str">
        <f t="shared" si="28"/>
        <v>Unique</v>
      </c>
      <c r="M474" s="8" t="str">
        <f>IF(COUNTIF(Payments_Raw!$B:$B,A474)=0,"Unpaid",IF(N474&gt;=G474,"Paid",IF(N474&gt;0,"Partial Payment",IF(COUNTIFS(Payments_Raw!$B:$B,A474,Payments_Raw!$F:$F,"Failed")&gt;0,"Failed",IF(COUNTIFS(Payments_Raw!$B:$B,A474,Payments_Raw!$F:$F,"Pending")&gt;0,"Pending","Unpaid")))))</f>
        <v>Paid</v>
      </c>
      <c r="N474" s="8">
        <f>SUMIFS(Payments_Raw!$E:$E,Payments_Raw!$B:$B,A474,Payments_Raw!$F:$F,"Successful")</f>
        <v>20094.080000000002</v>
      </c>
      <c r="O474" s="26">
        <f t="shared" si="29"/>
        <v>0</v>
      </c>
      <c r="P474" s="9" t="str">
        <f t="shared" si="30"/>
        <v>No Exception</v>
      </c>
      <c r="Q474" s="14" t="str">
        <f t="shared" si="31"/>
        <v>Not Overdue</v>
      </c>
      <c r="R474" s="14"/>
    </row>
    <row r="475" spans="1:18" x14ac:dyDescent="0.25">
      <c r="A475" s="18" t="s">
        <v>1460</v>
      </c>
      <c r="B475" s="8" t="s">
        <v>102</v>
      </c>
      <c r="C475" s="8" t="s">
        <v>1461</v>
      </c>
      <c r="D475" s="8" t="s">
        <v>1462</v>
      </c>
      <c r="E475" s="19">
        <v>46072</v>
      </c>
      <c r="F475" s="19">
        <v>46117</v>
      </c>
      <c r="G475" s="8">
        <v>4284.78</v>
      </c>
      <c r="H475" s="8" t="s">
        <v>15</v>
      </c>
      <c r="I475" s="8" t="s">
        <v>29</v>
      </c>
      <c r="J475" s="8" t="s">
        <v>30</v>
      </c>
      <c r="K475" s="8" t="s">
        <v>24</v>
      </c>
      <c r="L475" t="str">
        <f t="shared" si="28"/>
        <v>Unique</v>
      </c>
      <c r="M475" s="8" t="str">
        <f>IF(COUNTIF(Payments_Raw!$B:$B,A475)=0,"Unpaid",IF(N475&gt;=G475,"Paid",IF(N475&gt;0,"Partial Payment",IF(COUNTIFS(Payments_Raw!$B:$B,A475,Payments_Raw!$F:$F,"Failed")&gt;0,"Failed",IF(COUNTIFS(Payments_Raw!$B:$B,A475,Payments_Raw!$F:$F,"Pending")&gt;0,"Pending","Unpaid")))))</f>
        <v>Paid</v>
      </c>
      <c r="N475" s="8">
        <f>SUMIFS(Payments_Raw!$E:$E,Payments_Raw!$B:$B,A475,Payments_Raw!$F:$F,"Successful")</f>
        <v>4284.78</v>
      </c>
      <c r="O475" s="26">
        <f t="shared" si="29"/>
        <v>0</v>
      </c>
      <c r="P475" s="9" t="str">
        <f t="shared" si="30"/>
        <v>No Exception</v>
      </c>
      <c r="Q475" s="14" t="str">
        <f t="shared" si="31"/>
        <v>Not Overdue</v>
      </c>
      <c r="R475" s="14"/>
    </row>
    <row r="476" spans="1:18" x14ac:dyDescent="0.25">
      <c r="A476" s="18" t="s">
        <v>1463</v>
      </c>
      <c r="B476" s="8" t="s">
        <v>53</v>
      </c>
      <c r="C476" s="8" t="s">
        <v>1464</v>
      </c>
      <c r="D476" s="8" t="s">
        <v>1465</v>
      </c>
      <c r="E476" s="19">
        <v>46240</v>
      </c>
      <c r="F476" s="19">
        <v>46270</v>
      </c>
      <c r="G476" s="8">
        <v>20911.349999999999</v>
      </c>
      <c r="H476" s="8" t="s">
        <v>15</v>
      </c>
      <c r="I476" s="8" t="s">
        <v>39</v>
      </c>
      <c r="J476" s="8" t="s">
        <v>30</v>
      </c>
      <c r="K476" s="8" t="s">
        <v>24</v>
      </c>
      <c r="L476" t="str">
        <f t="shared" si="28"/>
        <v>Unique</v>
      </c>
      <c r="M476" s="8" t="str">
        <f>IF(COUNTIF(Payments_Raw!$B:$B,A476)=0,"Unpaid",IF(N476&gt;=G476,"Paid",IF(N476&gt;0,"Partial Payment",IF(COUNTIFS(Payments_Raw!$B:$B,A476,Payments_Raw!$F:$F,"Failed")&gt;0,"Failed",IF(COUNTIFS(Payments_Raw!$B:$B,A476,Payments_Raw!$F:$F,"Pending")&gt;0,"Pending","Unpaid")))))</f>
        <v>Partial Payment</v>
      </c>
      <c r="N476" s="8">
        <f>SUMIFS(Payments_Raw!$E:$E,Payments_Raw!$B:$B,A476,Payments_Raw!$F:$F,"Successful")</f>
        <v>19238.439999999999</v>
      </c>
      <c r="O476" s="26">
        <f t="shared" si="29"/>
        <v>1672.9099999999999</v>
      </c>
      <c r="P476" s="9" t="str">
        <f t="shared" si="30"/>
        <v>Amount Mismatch</v>
      </c>
      <c r="Q476" s="14" t="str">
        <f t="shared" si="31"/>
        <v>Overdue</v>
      </c>
      <c r="R476" s="14"/>
    </row>
    <row r="477" spans="1:18" x14ac:dyDescent="0.25">
      <c r="A477" s="18" t="s">
        <v>1466</v>
      </c>
      <c r="B477" s="8" t="s">
        <v>122</v>
      </c>
      <c r="C477" s="8" t="s">
        <v>1467</v>
      </c>
      <c r="D477" s="8" t="s">
        <v>1468</v>
      </c>
      <c r="E477" s="19">
        <v>46035</v>
      </c>
      <c r="F477" s="19">
        <v>46050</v>
      </c>
      <c r="G477" s="8">
        <v>11545.52</v>
      </c>
      <c r="H477" s="8" t="s">
        <v>15</v>
      </c>
      <c r="I477" s="8" t="s">
        <v>29</v>
      </c>
      <c r="J477" s="8" t="s">
        <v>17</v>
      </c>
      <c r="K477" s="8" t="s">
        <v>24</v>
      </c>
      <c r="L477" t="str">
        <f t="shared" si="28"/>
        <v>Unique</v>
      </c>
      <c r="M477" s="8" t="str">
        <f>IF(COUNTIF(Payments_Raw!$B:$B,A477)=0,"Unpaid",IF(N477&gt;=G477,"Paid",IF(N477&gt;0,"Partial Payment",IF(COUNTIFS(Payments_Raw!$B:$B,A477,Payments_Raw!$F:$F,"Failed")&gt;0,"Failed",IF(COUNTIFS(Payments_Raw!$B:$B,A477,Payments_Raw!$F:$F,"Pending")&gt;0,"Pending","Unpaid")))))</f>
        <v>Paid</v>
      </c>
      <c r="N477" s="8">
        <f>SUMIFS(Payments_Raw!$E:$E,Payments_Raw!$B:$B,A477,Payments_Raw!$F:$F,"Successful")</f>
        <v>11545.52</v>
      </c>
      <c r="O477" s="26">
        <f t="shared" si="29"/>
        <v>0</v>
      </c>
      <c r="P477" s="9" t="str">
        <f t="shared" si="30"/>
        <v>No Exception</v>
      </c>
      <c r="Q477" s="14" t="str">
        <f t="shared" si="31"/>
        <v>Not Overdue</v>
      </c>
      <c r="R477" s="14"/>
    </row>
    <row r="478" spans="1:18" x14ac:dyDescent="0.25">
      <c r="A478" s="18" t="s">
        <v>1469</v>
      </c>
      <c r="B478" s="8" t="s">
        <v>102</v>
      </c>
      <c r="C478" s="8" t="s">
        <v>1470</v>
      </c>
      <c r="D478" s="8" t="s">
        <v>1471</v>
      </c>
      <c r="E478" s="19">
        <v>46139</v>
      </c>
      <c r="F478" s="19">
        <v>46184</v>
      </c>
      <c r="G478" s="8">
        <v>22785.35</v>
      </c>
      <c r="H478" s="8" t="s">
        <v>15</v>
      </c>
      <c r="I478" s="8" t="s">
        <v>16</v>
      </c>
      <c r="J478" s="8" t="s">
        <v>17</v>
      </c>
      <c r="K478" s="8" t="s">
        <v>63</v>
      </c>
      <c r="L478" t="str">
        <f t="shared" si="28"/>
        <v>Unique</v>
      </c>
      <c r="M478" s="8" t="str">
        <f>IF(COUNTIF(Payments_Raw!$B:$B,A478)=0,"Unpaid",IF(N478&gt;=G478,"Paid",IF(N478&gt;0,"Partial Payment",IF(COUNTIFS(Payments_Raw!$B:$B,A478,Payments_Raw!$F:$F,"Failed")&gt;0,"Failed",IF(COUNTIFS(Payments_Raw!$B:$B,A478,Payments_Raw!$F:$F,"Pending")&gt;0,"Pending","Unpaid")))))</f>
        <v>Paid</v>
      </c>
      <c r="N478" s="8">
        <f>SUMIFS(Payments_Raw!$E:$E,Payments_Raw!$B:$B,A478,Payments_Raw!$F:$F,"Successful")</f>
        <v>22785.35</v>
      </c>
      <c r="O478" s="26">
        <f t="shared" si="29"/>
        <v>0</v>
      </c>
      <c r="P478" s="9" t="str">
        <f t="shared" si="30"/>
        <v>No Exception</v>
      </c>
      <c r="Q478" s="14" t="str">
        <f t="shared" si="31"/>
        <v>Not Overdue</v>
      </c>
      <c r="R478" s="14"/>
    </row>
    <row r="479" spans="1:18" x14ac:dyDescent="0.25">
      <c r="A479" s="18" t="s">
        <v>1472</v>
      </c>
      <c r="B479" s="8" t="s">
        <v>45</v>
      </c>
      <c r="C479" s="8" t="s">
        <v>1473</v>
      </c>
      <c r="D479" s="8" t="s">
        <v>1474</v>
      </c>
      <c r="E479" s="19">
        <v>46296</v>
      </c>
      <c r="F479" s="19">
        <v>46326</v>
      </c>
      <c r="G479" s="8">
        <v>266.77</v>
      </c>
      <c r="H479" s="8" t="s">
        <v>15</v>
      </c>
      <c r="I479" s="8" t="s">
        <v>39</v>
      </c>
      <c r="J479" s="8" t="s">
        <v>30</v>
      </c>
      <c r="K479" s="8" t="s">
        <v>18</v>
      </c>
      <c r="L479" t="str">
        <f t="shared" si="28"/>
        <v>Unique</v>
      </c>
      <c r="M479" s="8" t="str">
        <f>IF(COUNTIF(Payments_Raw!$B:$B,A479)=0,"Unpaid",IF(N479&gt;=G479,"Paid",IF(N479&gt;0,"Partial Payment",IF(COUNTIFS(Payments_Raw!$B:$B,A479,Payments_Raw!$F:$F,"Failed")&gt;0,"Failed",IF(COUNTIFS(Payments_Raw!$B:$B,A479,Payments_Raw!$F:$F,"Pending")&gt;0,"Pending","Unpaid")))))</f>
        <v>Paid</v>
      </c>
      <c r="N479" s="8">
        <f>SUMIFS(Payments_Raw!$E:$E,Payments_Raw!$B:$B,A479,Payments_Raw!$F:$F,"Successful")</f>
        <v>266.77</v>
      </c>
      <c r="O479" s="26">
        <f t="shared" si="29"/>
        <v>0</v>
      </c>
      <c r="P479" s="9" t="str">
        <f t="shared" si="30"/>
        <v>No Exception</v>
      </c>
      <c r="Q479" s="14" t="str">
        <f t="shared" si="31"/>
        <v>Not Overdue</v>
      </c>
      <c r="R479" s="14"/>
    </row>
    <row r="480" spans="1:18" x14ac:dyDescent="0.25">
      <c r="A480" s="18" t="s">
        <v>1475</v>
      </c>
      <c r="B480" s="8" t="s">
        <v>57</v>
      </c>
      <c r="C480" s="8" t="s">
        <v>1476</v>
      </c>
      <c r="D480" s="8" t="s">
        <v>1477</v>
      </c>
      <c r="E480" s="19">
        <v>46280</v>
      </c>
      <c r="F480" s="19">
        <v>46325</v>
      </c>
      <c r="G480" s="8">
        <v>2760.65</v>
      </c>
      <c r="H480" s="8" t="s">
        <v>15</v>
      </c>
      <c r="I480" s="8" t="s">
        <v>29</v>
      </c>
      <c r="J480" s="8" t="s">
        <v>17</v>
      </c>
      <c r="K480" s="8" t="s">
        <v>63</v>
      </c>
      <c r="L480" t="str">
        <f t="shared" si="28"/>
        <v>Unique</v>
      </c>
      <c r="M480" s="8" t="str">
        <f>IF(COUNTIF(Payments_Raw!$B:$B,A480)=0,"Unpaid",IF(N480&gt;=G480,"Paid",IF(N480&gt;0,"Partial Payment",IF(COUNTIFS(Payments_Raw!$B:$B,A480,Payments_Raw!$F:$F,"Failed")&gt;0,"Failed",IF(COUNTIFS(Payments_Raw!$B:$B,A480,Payments_Raw!$F:$F,"Pending")&gt;0,"Pending","Unpaid")))))</f>
        <v>Partial Payment</v>
      </c>
      <c r="N480" s="8">
        <f>SUMIFS(Payments_Raw!$E:$E,Payments_Raw!$B:$B,A480,Payments_Raw!$F:$F,"Successful")</f>
        <v>2539.8000000000002</v>
      </c>
      <c r="O480" s="26">
        <f t="shared" si="29"/>
        <v>220.84999999999991</v>
      </c>
      <c r="P480" s="9" t="str">
        <f t="shared" si="30"/>
        <v>Amount Mismatch</v>
      </c>
      <c r="Q480" s="14" t="str">
        <f t="shared" si="31"/>
        <v>Overdue</v>
      </c>
      <c r="R480" s="14"/>
    </row>
    <row r="481" spans="1:19" x14ac:dyDescent="0.25">
      <c r="A481" s="18" t="s">
        <v>1478</v>
      </c>
      <c r="B481" s="8" t="s">
        <v>41</v>
      </c>
      <c r="C481" s="8" t="s">
        <v>1479</v>
      </c>
      <c r="D481" s="8" t="s">
        <v>1480</v>
      </c>
      <c r="E481" s="19">
        <v>46225</v>
      </c>
      <c r="F481" s="19">
        <v>46240</v>
      </c>
      <c r="G481" s="8">
        <v>30471.32</v>
      </c>
      <c r="H481" s="8" t="s">
        <v>15</v>
      </c>
      <c r="I481" s="8" t="s">
        <v>39</v>
      </c>
      <c r="J481" s="8" t="s">
        <v>17</v>
      </c>
      <c r="K481" s="8" t="s">
        <v>24</v>
      </c>
      <c r="L481" t="str">
        <f t="shared" si="28"/>
        <v>Unique</v>
      </c>
      <c r="M481" s="8" t="str">
        <f>IF(COUNTIF(Payments_Raw!$B:$B,A481)=0,"Unpaid",IF(N481&gt;=G481,"Paid",IF(N481&gt;0,"Partial Payment",IF(COUNTIFS(Payments_Raw!$B:$B,A481,Payments_Raw!$F:$F,"Failed")&gt;0,"Failed",IF(COUNTIFS(Payments_Raw!$B:$B,A481,Payments_Raw!$F:$F,"Pending")&gt;0,"Pending","Unpaid")))))</f>
        <v>Paid</v>
      </c>
      <c r="N481" s="8">
        <f>SUMIFS(Payments_Raw!$E:$E,Payments_Raw!$B:$B,A481,Payments_Raw!$F:$F,"Successful")</f>
        <v>32909.03</v>
      </c>
      <c r="O481" s="26">
        <f t="shared" si="29"/>
        <v>-2437.7099999999991</v>
      </c>
      <c r="P481" s="9" t="str">
        <f t="shared" si="30"/>
        <v>No Exception</v>
      </c>
      <c r="Q481" s="14" t="str">
        <f t="shared" si="31"/>
        <v>Not Overdue</v>
      </c>
      <c r="R481" s="14"/>
    </row>
    <row r="482" spans="1:19" x14ac:dyDescent="0.25">
      <c r="A482" s="18" t="s">
        <v>1481</v>
      </c>
      <c r="B482" s="8" t="s">
        <v>163</v>
      </c>
      <c r="C482" s="8" t="s">
        <v>1482</v>
      </c>
      <c r="D482" s="8" t="s">
        <v>1483</v>
      </c>
      <c r="E482" s="19">
        <v>46096</v>
      </c>
      <c r="F482" s="19">
        <v>46111</v>
      </c>
      <c r="G482" s="8">
        <v>7535.65</v>
      </c>
      <c r="H482" s="8" t="s">
        <v>15</v>
      </c>
      <c r="I482" s="8" t="s">
        <v>23</v>
      </c>
      <c r="J482" s="8" t="s">
        <v>30</v>
      </c>
      <c r="K482" s="8" t="s">
        <v>24</v>
      </c>
      <c r="L482" t="str">
        <f t="shared" si="28"/>
        <v>Unique</v>
      </c>
      <c r="M482" s="8" t="str">
        <f>IF(COUNTIF(Payments_Raw!$B:$B,A482)=0,"Unpaid",IF(N482&gt;=G482,"Paid",IF(N482&gt;0,"Partial Payment",IF(COUNTIFS(Payments_Raw!$B:$B,A482,Payments_Raw!$F:$F,"Failed")&gt;0,"Failed",IF(COUNTIFS(Payments_Raw!$B:$B,A482,Payments_Raw!$F:$F,"Pending")&gt;0,"Pending","Unpaid")))))</f>
        <v>Partial Payment</v>
      </c>
      <c r="N482" s="8">
        <f>SUMIFS(Payments_Raw!$E:$E,Payments_Raw!$B:$B,A482,Payments_Raw!$F:$F,"Successful")</f>
        <v>4521.3900000000003</v>
      </c>
      <c r="O482" s="26">
        <f t="shared" si="29"/>
        <v>3014.2599999999993</v>
      </c>
      <c r="P482" s="9" t="str">
        <f t="shared" si="30"/>
        <v>Amount Mismatch</v>
      </c>
      <c r="Q482" s="14" t="str">
        <f t="shared" si="31"/>
        <v>Overdue</v>
      </c>
      <c r="R482" s="14"/>
    </row>
    <row r="483" spans="1:19" x14ac:dyDescent="0.25">
      <c r="A483" s="18" t="s">
        <v>1484</v>
      </c>
      <c r="B483" s="8" t="s">
        <v>122</v>
      </c>
      <c r="C483" s="8" t="s">
        <v>1485</v>
      </c>
      <c r="D483" s="8" t="s">
        <v>1486</v>
      </c>
      <c r="E483" s="19">
        <v>46086</v>
      </c>
      <c r="F483" s="19">
        <v>46101</v>
      </c>
      <c r="G483" s="8">
        <v>1159.32</v>
      </c>
      <c r="H483" s="8" t="s">
        <v>15</v>
      </c>
      <c r="I483" s="8" t="s">
        <v>16</v>
      </c>
      <c r="J483" s="8" t="s">
        <v>30</v>
      </c>
      <c r="K483" s="8" t="s">
        <v>18</v>
      </c>
      <c r="L483" t="str">
        <f t="shared" si="28"/>
        <v>Unique</v>
      </c>
      <c r="M483" s="8" t="str">
        <f>IF(COUNTIF(Payments_Raw!$B:$B,A483)=0,"Unpaid",IF(N483&gt;=G483,"Paid",IF(N483&gt;0,"Partial Payment",IF(COUNTIFS(Payments_Raw!$B:$B,A483,Payments_Raw!$F:$F,"Failed")&gt;0,"Failed",IF(COUNTIFS(Payments_Raw!$B:$B,A483,Payments_Raw!$F:$F,"Pending")&gt;0,"Pending","Unpaid")))))</f>
        <v>Unpaid</v>
      </c>
      <c r="N483" s="8">
        <f>SUMIFS(Payments_Raw!$E:$E,Payments_Raw!$B:$B,A483,Payments_Raw!$F:$F,"Successful")</f>
        <v>0</v>
      </c>
      <c r="O483" s="26">
        <f t="shared" si="29"/>
        <v>1159.32</v>
      </c>
      <c r="P483" s="9" t="str">
        <f t="shared" si="30"/>
        <v>Unpaid Invoice</v>
      </c>
      <c r="Q483" s="14" t="str">
        <f t="shared" si="31"/>
        <v>Overdue</v>
      </c>
      <c r="R483" s="14"/>
    </row>
    <row r="484" spans="1:19" x14ac:dyDescent="0.25">
      <c r="A484" s="18" t="s">
        <v>1487</v>
      </c>
      <c r="B484" s="8" t="s">
        <v>57</v>
      </c>
      <c r="C484" s="8" t="s">
        <v>1488</v>
      </c>
      <c r="D484" s="8" t="s">
        <v>1489</v>
      </c>
      <c r="E484" s="19">
        <v>46131</v>
      </c>
      <c r="F484" s="19">
        <v>46176</v>
      </c>
      <c r="G484" s="8">
        <v>10386.84</v>
      </c>
      <c r="H484" s="8" t="s">
        <v>15</v>
      </c>
      <c r="I484" s="8" t="s">
        <v>29</v>
      </c>
      <c r="J484" s="8" t="s">
        <v>17</v>
      </c>
      <c r="K484" s="8" t="s">
        <v>63</v>
      </c>
      <c r="L484" t="str">
        <f t="shared" si="28"/>
        <v>Unique</v>
      </c>
      <c r="M484" s="8" t="str">
        <f>IF(COUNTIF(Payments_Raw!$B:$B,A484)=0,"Unpaid",IF(N484&gt;=G484,"Paid",IF(N484&gt;0,"Partial Payment",IF(COUNTIFS(Payments_Raw!$B:$B,A484,Payments_Raw!$F:$F,"Failed")&gt;0,"Failed",IF(COUNTIFS(Payments_Raw!$B:$B,A484,Payments_Raw!$F:$F,"Pending")&gt;0,"Pending","Unpaid")))))</f>
        <v>Unpaid</v>
      </c>
      <c r="N484" s="8">
        <f>SUMIFS(Payments_Raw!$E:$E,Payments_Raw!$B:$B,A484,Payments_Raw!$F:$F,"Successful")</f>
        <v>0</v>
      </c>
      <c r="O484" s="26">
        <f t="shared" si="29"/>
        <v>10386.84</v>
      </c>
      <c r="P484" s="9" t="str">
        <f t="shared" si="30"/>
        <v>Unpaid Invoice</v>
      </c>
      <c r="Q484" s="14" t="str">
        <f t="shared" si="31"/>
        <v>Overdue</v>
      </c>
      <c r="R484" s="14"/>
    </row>
    <row r="485" spans="1:19" x14ac:dyDescent="0.25">
      <c r="A485" s="18" t="s">
        <v>1490</v>
      </c>
      <c r="B485" s="8" t="s">
        <v>53</v>
      </c>
      <c r="C485" s="8" t="s">
        <v>1491</v>
      </c>
      <c r="D485" s="8" t="s">
        <v>1492</v>
      </c>
      <c r="E485" s="19">
        <v>46081</v>
      </c>
      <c r="F485" s="19">
        <v>46111</v>
      </c>
      <c r="G485" s="8">
        <v>4632.1899999999996</v>
      </c>
      <c r="H485" s="8" t="s">
        <v>15</v>
      </c>
      <c r="I485" s="8" t="s">
        <v>39</v>
      </c>
      <c r="J485" s="8" t="s">
        <v>17</v>
      </c>
      <c r="K485" s="8" t="s">
        <v>24</v>
      </c>
      <c r="L485" t="str">
        <f t="shared" si="28"/>
        <v>Unique</v>
      </c>
      <c r="M485" s="8" t="str">
        <f>IF(COUNTIF(Payments_Raw!$B:$B,A485)=0,"Unpaid",IF(N485&gt;=G485,"Paid",IF(N485&gt;0,"Partial Payment",IF(COUNTIFS(Payments_Raw!$B:$B,A485,Payments_Raw!$F:$F,"Failed")&gt;0,"Failed",IF(COUNTIFS(Payments_Raw!$B:$B,A485,Payments_Raw!$F:$F,"Pending")&gt;0,"Pending","Unpaid")))))</f>
        <v>Unpaid</v>
      </c>
      <c r="N485" s="8">
        <f>SUMIFS(Payments_Raw!$E:$E,Payments_Raw!$B:$B,A485,Payments_Raw!$F:$F,"Successful")</f>
        <v>0</v>
      </c>
      <c r="O485" s="26">
        <f t="shared" si="29"/>
        <v>4632.1899999999996</v>
      </c>
      <c r="P485" s="9" t="str">
        <f t="shared" si="30"/>
        <v>Unpaid Invoice</v>
      </c>
      <c r="Q485" s="14" t="str">
        <f t="shared" si="31"/>
        <v>Overdue</v>
      </c>
      <c r="R485" s="14"/>
    </row>
    <row r="486" spans="1:19" x14ac:dyDescent="0.25">
      <c r="A486" s="18" t="s">
        <v>1493</v>
      </c>
      <c r="B486" s="8" t="s">
        <v>112</v>
      </c>
      <c r="C486" s="8" t="s">
        <v>1494</v>
      </c>
      <c r="D486" s="8" t="s">
        <v>1495</v>
      </c>
      <c r="E486" s="19">
        <v>46304</v>
      </c>
      <c r="F486" s="19">
        <v>46319</v>
      </c>
      <c r="G486" s="8">
        <v>1939.84</v>
      </c>
      <c r="H486" s="8" t="s">
        <v>15</v>
      </c>
      <c r="I486" s="8" t="s">
        <v>29</v>
      </c>
      <c r="J486" s="8" t="s">
        <v>17</v>
      </c>
      <c r="K486" s="8" t="s">
        <v>63</v>
      </c>
      <c r="L486" t="str">
        <f t="shared" si="28"/>
        <v>Unique</v>
      </c>
      <c r="M486" s="8" t="str">
        <f>IF(COUNTIF(Payments_Raw!$B:$B,A486)=0,"Unpaid",IF(N486&gt;=G486,"Paid",IF(N486&gt;0,"Partial Payment",IF(COUNTIFS(Payments_Raw!$B:$B,A486,Payments_Raw!$F:$F,"Failed")&gt;0,"Failed",IF(COUNTIFS(Payments_Raw!$B:$B,A486,Payments_Raw!$F:$F,"Pending")&gt;0,"Pending","Unpaid")))))</f>
        <v>Failed</v>
      </c>
      <c r="N486" s="8">
        <f>SUMIFS(Payments_Raw!$E:$E,Payments_Raw!$B:$B,A486,Payments_Raw!$F:$F,"Successful")</f>
        <v>0</v>
      </c>
      <c r="O486" s="26">
        <f t="shared" si="29"/>
        <v>1939.84</v>
      </c>
      <c r="P486" s="9" t="str">
        <f t="shared" si="30"/>
        <v>Failed Payment</v>
      </c>
      <c r="Q486" s="14" t="str">
        <f t="shared" si="31"/>
        <v>Overdue</v>
      </c>
      <c r="R486" s="14"/>
    </row>
    <row r="487" spans="1:19" x14ac:dyDescent="0.25">
      <c r="A487" s="18" t="s">
        <v>1496</v>
      </c>
      <c r="B487" s="8" t="s">
        <v>57</v>
      </c>
      <c r="C487" s="8" t="s">
        <v>1497</v>
      </c>
      <c r="D487" s="8" t="s">
        <v>1498</v>
      </c>
      <c r="E487" s="19">
        <v>46088</v>
      </c>
      <c r="F487" s="19">
        <v>46133</v>
      </c>
      <c r="G487" s="8">
        <v>16821.830000000002</v>
      </c>
      <c r="H487" s="8" t="s">
        <v>15</v>
      </c>
      <c r="I487" s="8" t="s">
        <v>29</v>
      </c>
      <c r="J487" s="8" t="s">
        <v>17</v>
      </c>
      <c r="K487" s="8" t="s">
        <v>63</v>
      </c>
      <c r="L487" t="str">
        <f t="shared" si="28"/>
        <v>Unique</v>
      </c>
      <c r="M487" s="8" t="str">
        <f>IF(COUNTIF(Payments_Raw!$B:$B,A487)=0,"Unpaid",IF(N487&gt;=G487,"Paid",IF(N487&gt;0,"Partial Payment",IF(COUNTIFS(Payments_Raw!$B:$B,A487,Payments_Raw!$F:$F,"Failed")&gt;0,"Failed",IF(COUNTIFS(Payments_Raw!$B:$B,A487,Payments_Raw!$F:$F,"Pending")&gt;0,"Pending","Unpaid")))))</f>
        <v>Pending</v>
      </c>
      <c r="N487" s="8">
        <f>SUMIFS(Payments_Raw!$E:$E,Payments_Raw!$B:$B,A487,Payments_Raw!$F:$F,"Successful")</f>
        <v>0</v>
      </c>
      <c r="O487" s="26">
        <f t="shared" si="29"/>
        <v>16821.830000000002</v>
      </c>
      <c r="P487" s="9" t="str">
        <f t="shared" si="30"/>
        <v>Pending Payment</v>
      </c>
      <c r="Q487" s="14" t="str">
        <f t="shared" si="31"/>
        <v>Overdue</v>
      </c>
      <c r="R487" s="14"/>
    </row>
    <row r="488" spans="1:19" x14ac:dyDescent="0.25">
      <c r="A488" s="18" t="s">
        <v>1499</v>
      </c>
      <c r="B488" s="8" t="s">
        <v>112</v>
      </c>
      <c r="C488" s="8" t="s">
        <v>1500</v>
      </c>
      <c r="D488" s="8" t="s">
        <v>1501</v>
      </c>
      <c r="E488" s="19">
        <v>46191</v>
      </c>
      <c r="F488" s="19">
        <v>46206</v>
      </c>
      <c r="G488" s="8">
        <v>15454.6</v>
      </c>
      <c r="H488" s="8" t="s">
        <v>15</v>
      </c>
      <c r="I488" s="8" t="s">
        <v>16</v>
      </c>
      <c r="J488" s="8" t="s">
        <v>17</v>
      </c>
      <c r="K488" s="8" t="s">
        <v>63</v>
      </c>
      <c r="L488" t="str">
        <f t="shared" si="28"/>
        <v>Unique</v>
      </c>
      <c r="M488" s="8" t="str">
        <f>IF(COUNTIF(Payments_Raw!$B:$B,A488)=0,"Unpaid",IF(N488&gt;=G488,"Paid",IF(N488&gt;0,"Partial Payment",IF(COUNTIFS(Payments_Raw!$B:$B,A488,Payments_Raw!$F:$F,"Failed")&gt;0,"Failed",IF(COUNTIFS(Payments_Raw!$B:$B,A488,Payments_Raw!$F:$F,"Pending")&gt;0,"Pending","Unpaid")))))</f>
        <v>Paid</v>
      </c>
      <c r="N488" s="8">
        <f>SUMIFS(Payments_Raw!$E:$E,Payments_Raw!$B:$B,A488,Payments_Raw!$F:$F,"Successful")</f>
        <v>15454.6</v>
      </c>
      <c r="O488" s="26">
        <f t="shared" si="29"/>
        <v>0</v>
      </c>
      <c r="P488" s="9" t="str">
        <f t="shared" si="30"/>
        <v>No Exception</v>
      </c>
      <c r="Q488" s="14" t="str">
        <f t="shared" si="31"/>
        <v>Not Overdue</v>
      </c>
      <c r="R488" s="14"/>
    </row>
    <row r="489" spans="1:19" x14ac:dyDescent="0.25">
      <c r="A489" s="18" t="s">
        <v>1502</v>
      </c>
      <c r="B489" s="8" t="s">
        <v>85</v>
      </c>
      <c r="C489" s="8" t="s">
        <v>1503</v>
      </c>
      <c r="D489" s="8" t="s">
        <v>1504</v>
      </c>
      <c r="E489" s="19">
        <v>46109</v>
      </c>
      <c r="F489" s="19">
        <v>46154</v>
      </c>
      <c r="G489" s="8">
        <v>240.22</v>
      </c>
      <c r="H489" s="8" t="s">
        <v>15</v>
      </c>
      <c r="I489" s="8" t="s">
        <v>39</v>
      </c>
      <c r="J489" s="8" t="s">
        <v>17</v>
      </c>
      <c r="K489" s="8" t="s">
        <v>63</v>
      </c>
      <c r="L489" t="str">
        <f t="shared" si="28"/>
        <v>Unique</v>
      </c>
      <c r="M489" s="8" t="str">
        <f>IF(COUNTIF(Payments_Raw!$B:$B,A489)=0,"Unpaid",IF(N489&gt;=G489,"Paid",IF(N489&gt;0,"Partial Payment",IF(COUNTIFS(Payments_Raw!$B:$B,A489,Payments_Raw!$F:$F,"Failed")&gt;0,"Failed",IF(COUNTIFS(Payments_Raw!$B:$B,A489,Payments_Raw!$F:$F,"Pending")&gt;0,"Pending","Unpaid")))))</f>
        <v>Paid</v>
      </c>
      <c r="N489" s="8">
        <f>SUMIFS(Payments_Raw!$E:$E,Payments_Raw!$B:$B,A489,Payments_Raw!$F:$F,"Successful")</f>
        <v>240.22</v>
      </c>
      <c r="O489" s="26">
        <f t="shared" si="29"/>
        <v>0</v>
      </c>
      <c r="P489" s="9" t="str">
        <f t="shared" si="30"/>
        <v>No Exception</v>
      </c>
      <c r="Q489" s="14" t="str">
        <f t="shared" si="31"/>
        <v>Not Overdue</v>
      </c>
      <c r="R489" s="14"/>
    </row>
    <row r="490" spans="1:19" x14ac:dyDescent="0.25">
      <c r="A490" s="18" t="s">
        <v>1505</v>
      </c>
      <c r="B490" s="8" t="s">
        <v>122</v>
      </c>
      <c r="C490" s="8" t="s">
        <v>1506</v>
      </c>
      <c r="D490" s="8" t="s">
        <v>1507</v>
      </c>
      <c r="E490" s="19">
        <v>46192</v>
      </c>
      <c r="F490" s="19">
        <v>46207</v>
      </c>
      <c r="G490" s="8">
        <v>21961.8</v>
      </c>
      <c r="H490" s="8" t="s">
        <v>15</v>
      </c>
      <c r="I490" s="8" t="s">
        <v>16</v>
      </c>
      <c r="J490" s="8" t="s">
        <v>17</v>
      </c>
      <c r="K490" s="8" t="s">
        <v>18</v>
      </c>
      <c r="L490" t="str">
        <f t="shared" si="28"/>
        <v>Unique</v>
      </c>
      <c r="M490" s="8" t="str">
        <f>IF(COUNTIF(Payments_Raw!$B:$B,A490)=0,"Unpaid",IF(N490&gt;=G490,"Paid",IF(N490&gt;0,"Partial Payment",IF(COUNTIFS(Payments_Raw!$B:$B,A490,Payments_Raw!$F:$F,"Failed")&gt;0,"Failed",IF(COUNTIFS(Payments_Raw!$B:$B,A490,Payments_Raw!$F:$F,"Pending")&gt;0,"Pending","Unpaid")))))</f>
        <v>Pending</v>
      </c>
      <c r="N490" s="8">
        <f>SUMIFS(Payments_Raw!$E:$E,Payments_Raw!$B:$B,A490,Payments_Raw!$F:$F,"Successful")</f>
        <v>0</v>
      </c>
      <c r="O490" s="26">
        <f t="shared" si="29"/>
        <v>21961.8</v>
      </c>
      <c r="P490" s="9" t="str">
        <f t="shared" si="30"/>
        <v>Pending Payment</v>
      </c>
      <c r="Q490" s="14" t="str">
        <f t="shared" si="31"/>
        <v>Overdue</v>
      </c>
      <c r="R490" s="14"/>
    </row>
    <row r="491" spans="1:19" x14ac:dyDescent="0.25">
      <c r="A491" s="18" t="s">
        <v>1508</v>
      </c>
      <c r="B491" s="8" t="s">
        <v>138</v>
      </c>
      <c r="C491" s="8" t="s">
        <v>1509</v>
      </c>
      <c r="D491" s="8" t="s">
        <v>1510</v>
      </c>
      <c r="E491" s="19">
        <v>46064</v>
      </c>
      <c r="F491" s="19">
        <v>46109</v>
      </c>
      <c r="G491" s="8">
        <v>21063.81</v>
      </c>
      <c r="H491" s="8" t="s">
        <v>15</v>
      </c>
      <c r="I491" s="8" t="s">
        <v>29</v>
      </c>
      <c r="J491" s="8" t="s">
        <v>17</v>
      </c>
      <c r="K491" s="8" t="s">
        <v>24</v>
      </c>
      <c r="L491" t="str">
        <f t="shared" si="28"/>
        <v>Unique</v>
      </c>
      <c r="M491" s="8" t="str">
        <f>IF(COUNTIF(Payments_Raw!$B:$B,A491)=0,"Unpaid",IF(N491&gt;=G491,"Paid",IF(N491&gt;0,"Partial Payment",IF(COUNTIFS(Payments_Raw!$B:$B,A491,Payments_Raw!$F:$F,"Failed")&gt;0,"Failed",IF(COUNTIFS(Payments_Raw!$B:$B,A491,Payments_Raw!$F:$F,"Pending")&gt;0,"Pending","Unpaid")))))</f>
        <v>Paid</v>
      </c>
      <c r="N491" s="8">
        <f>SUMIFS(Payments_Raw!$E:$E,Payments_Raw!$B:$B,A491,Payments_Raw!$F:$F,"Successful")</f>
        <v>22748.91</v>
      </c>
      <c r="O491" s="26">
        <f t="shared" si="29"/>
        <v>-1685.0999999999985</v>
      </c>
      <c r="P491" s="9" t="str">
        <f t="shared" si="30"/>
        <v>No Exception</v>
      </c>
      <c r="Q491" s="14" t="str">
        <f t="shared" si="31"/>
        <v>Not Overdue</v>
      </c>
      <c r="R491" s="14"/>
    </row>
    <row r="492" spans="1:19" x14ac:dyDescent="0.25">
      <c r="A492" s="18" t="s">
        <v>1511</v>
      </c>
      <c r="B492" s="8" t="s">
        <v>102</v>
      </c>
      <c r="C492" s="8" t="s">
        <v>1512</v>
      </c>
      <c r="D492" s="8" t="s">
        <v>1513</v>
      </c>
      <c r="E492" s="19">
        <v>46061</v>
      </c>
      <c r="F492" s="19">
        <v>46106</v>
      </c>
      <c r="G492" s="8">
        <v>22315.58</v>
      </c>
      <c r="H492" s="8" t="s">
        <v>15</v>
      </c>
      <c r="I492" s="8" t="s">
        <v>39</v>
      </c>
      <c r="J492" s="8" t="s">
        <v>17</v>
      </c>
      <c r="K492" s="8" t="s">
        <v>24</v>
      </c>
      <c r="L492" t="str">
        <f t="shared" si="28"/>
        <v>Unique</v>
      </c>
      <c r="M492" s="8" t="str">
        <f>IF(COUNTIF(Payments_Raw!$B:$B,A492)=0,"Unpaid",IF(N492&gt;=G492,"Paid",IF(N492&gt;0,"Partial Payment",IF(COUNTIFS(Payments_Raw!$B:$B,A492,Payments_Raw!$F:$F,"Failed")&gt;0,"Failed",IF(COUNTIFS(Payments_Raw!$B:$B,A492,Payments_Raw!$F:$F,"Pending")&gt;0,"Pending","Unpaid")))))</f>
        <v>Paid</v>
      </c>
      <c r="N492" s="8">
        <f>SUMIFS(Payments_Raw!$E:$E,Payments_Raw!$B:$B,A492,Payments_Raw!$F:$F,"Successful")</f>
        <v>22315.58</v>
      </c>
      <c r="O492" s="26">
        <f t="shared" si="29"/>
        <v>0</v>
      </c>
      <c r="P492" s="9" t="str">
        <f t="shared" si="30"/>
        <v>No Exception</v>
      </c>
      <c r="Q492" s="14" t="str">
        <f t="shared" si="31"/>
        <v>Not Overdue</v>
      </c>
      <c r="R492" s="14"/>
    </row>
    <row r="493" spans="1:19" x14ac:dyDescent="0.25">
      <c r="A493" s="18" t="s">
        <v>1514</v>
      </c>
      <c r="B493" s="8" t="s">
        <v>53</v>
      </c>
      <c r="C493" s="8" t="s">
        <v>1515</v>
      </c>
      <c r="D493" s="8" t="s">
        <v>1516</v>
      </c>
      <c r="E493" s="19">
        <v>46041</v>
      </c>
      <c r="F493" s="19">
        <v>46071</v>
      </c>
      <c r="G493" s="8">
        <v>13843.66</v>
      </c>
      <c r="H493" s="8" t="s">
        <v>15</v>
      </c>
      <c r="I493" s="8" t="s">
        <v>16</v>
      </c>
      <c r="J493" s="8" t="s">
        <v>17</v>
      </c>
      <c r="K493" s="8" t="s">
        <v>63</v>
      </c>
      <c r="L493" t="str">
        <f t="shared" si="28"/>
        <v>Unique</v>
      </c>
      <c r="M493" s="8" t="str">
        <f>IF(COUNTIF(Payments_Raw!$B:$B,A493)=0,"Unpaid",IF(N493&gt;=G493,"Paid",IF(N493&gt;0,"Partial Payment",IF(COUNTIFS(Payments_Raw!$B:$B,A493,Payments_Raw!$F:$F,"Failed")&gt;0,"Failed",IF(COUNTIFS(Payments_Raw!$B:$B,A493,Payments_Raw!$F:$F,"Pending")&gt;0,"Pending","Unpaid")))))</f>
        <v>Paid</v>
      </c>
      <c r="N493" s="8">
        <f>SUMIFS(Payments_Raw!$E:$E,Payments_Raw!$B:$B,A493,Payments_Raw!$F:$F,"Successful")</f>
        <v>13843.66</v>
      </c>
      <c r="O493" s="26">
        <f t="shared" si="29"/>
        <v>0</v>
      </c>
      <c r="P493" s="9" t="str">
        <f t="shared" si="30"/>
        <v>No Exception</v>
      </c>
      <c r="Q493" s="14" t="str">
        <f t="shared" si="31"/>
        <v>Not Overdue</v>
      </c>
      <c r="R493" s="14"/>
    </row>
    <row r="494" spans="1:19" x14ac:dyDescent="0.25">
      <c r="A494" s="18" t="s">
        <v>1517</v>
      </c>
      <c r="B494" s="8" t="s">
        <v>20</v>
      </c>
      <c r="C494" s="8" t="s">
        <v>1518</v>
      </c>
      <c r="D494" s="8" t="s">
        <v>1519</v>
      </c>
      <c r="E494" s="19">
        <v>46171</v>
      </c>
      <c r="F494" s="19">
        <v>46186</v>
      </c>
      <c r="G494" s="8">
        <v>3450.97</v>
      </c>
      <c r="H494" s="8" t="s">
        <v>15</v>
      </c>
      <c r="I494" s="8" t="s">
        <v>16</v>
      </c>
      <c r="J494" s="8" t="s">
        <v>30</v>
      </c>
      <c r="K494" s="8" t="s">
        <v>18</v>
      </c>
      <c r="L494" t="str">
        <f t="shared" si="28"/>
        <v>Unique</v>
      </c>
      <c r="M494" s="8" t="str">
        <f>IF(COUNTIF(Payments_Raw!$B:$B,A494)=0,"Unpaid",IF(N494&gt;=G494,"Paid",IF(N494&gt;0,"Partial Payment",IF(COUNTIFS(Payments_Raw!$B:$B,A494,Payments_Raw!$F:$F,"Failed")&gt;0,"Failed",IF(COUNTIFS(Payments_Raw!$B:$B,A494,Payments_Raw!$F:$F,"Pending")&gt;0,"Pending","Unpaid")))))</f>
        <v>Unpaid</v>
      </c>
      <c r="N494" s="8">
        <f>SUMIFS(Payments_Raw!$E:$E,Payments_Raw!$B:$B,A494,Payments_Raw!$F:$F,"Successful")</f>
        <v>0</v>
      </c>
      <c r="O494" s="26">
        <f t="shared" si="29"/>
        <v>3450.97</v>
      </c>
      <c r="P494" s="9" t="str">
        <f t="shared" si="30"/>
        <v>Unpaid Invoice</v>
      </c>
      <c r="Q494" s="14" t="str">
        <f t="shared" si="31"/>
        <v>Overdue</v>
      </c>
      <c r="R494" s="14"/>
    </row>
    <row r="495" spans="1:19" x14ac:dyDescent="0.25">
      <c r="A495" s="18" t="s">
        <v>1520</v>
      </c>
      <c r="B495" s="8" t="s">
        <v>138</v>
      </c>
      <c r="C495" s="8" t="s">
        <v>1521</v>
      </c>
      <c r="D495" s="8" t="s">
        <v>1522</v>
      </c>
      <c r="E495" s="19">
        <v>46107</v>
      </c>
      <c r="F495" s="19">
        <v>46152</v>
      </c>
      <c r="G495" s="8">
        <v>18959.29</v>
      </c>
      <c r="H495" s="8" t="s">
        <v>15</v>
      </c>
      <c r="I495" s="8" t="s">
        <v>16</v>
      </c>
      <c r="J495" s="8" t="s">
        <v>17</v>
      </c>
      <c r="K495" s="8" t="s">
        <v>18</v>
      </c>
      <c r="L495" t="str">
        <f t="shared" si="28"/>
        <v>Unique</v>
      </c>
      <c r="M495" s="8" t="str">
        <f>IF(COUNTIF(Payments_Raw!$B:$B,A495)=0,"Unpaid",IF(N495&gt;=G495,"Paid",IF(N495&gt;0,"Partial Payment",IF(COUNTIFS(Payments_Raw!$B:$B,A495,Payments_Raw!$F:$F,"Failed")&gt;0,"Failed",IF(COUNTIFS(Payments_Raw!$B:$B,A495,Payments_Raw!$F:$F,"Pending")&gt;0,"Pending","Unpaid")))))</f>
        <v>Unpaid</v>
      </c>
      <c r="N495" s="8">
        <f>SUMIFS(Payments_Raw!$E:$E,Payments_Raw!$B:$B,A495,Payments_Raw!$F:$F,"Successful")</f>
        <v>0</v>
      </c>
      <c r="O495" s="26">
        <f t="shared" si="29"/>
        <v>18959.29</v>
      </c>
      <c r="P495" s="9" t="str">
        <f t="shared" si="30"/>
        <v>Unpaid Invoice</v>
      </c>
      <c r="Q495" s="14" t="str">
        <f t="shared" si="31"/>
        <v>Overdue</v>
      </c>
      <c r="R495" s="14"/>
    </row>
    <row r="496" spans="1:19" x14ac:dyDescent="0.25">
      <c r="A496" s="18" t="s">
        <v>1523</v>
      </c>
      <c r="B496" s="8" t="s">
        <v>75</v>
      </c>
      <c r="C496" s="8" t="s">
        <v>1524</v>
      </c>
      <c r="D496" s="8" t="s">
        <v>1525</v>
      </c>
      <c r="E496" s="19">
        <v>46206</v>
      </c>
      <c r="F496" s="19">
        <v>46221</v>
      </c>
      <c r="G496" s="8">
        <v>1125.6500000000001</v>
      </c>
      <c r="H496" s="8" t="s">
        <v>15</v>
      </c>
      <c r="I496" s="8" t="s">
        <v>16</v>
      </c>
      <c r="J496" s="8" t="s">
        <v>17</v>
      </c>
      <c r="K496" s="8" t="s">
        <v>24</v>
      </c>
      <c r="L496" t="str">
        <f t="shared" si="28"/>
        <v>Unique</v>
      </c>
      <c r="M496" s="8" t="str">
        <f>IF(COUNTIF(Payments_Raw!$B:$B,A496)=0,"Unpaid",IF(N496&gt;=G496,"Paid",IF(N496&gt;0,"Partial Payment",IF(COUNTIFS(Payments_Raw!$B:$B,A496,Payments_Raw!$F:$F,"Failed")&gt;0,"Failed",IF(COUNTIFS(Payments_Raw!$B:$B,A496,Payments_Raw!$F:$F,"Pending")&gt;0,"Pending","Unpaid")))))</f>
        <v>Paid</v>
      </c>
      <c r="N496" s="8">
        <f>SUMIFS(Payments_Raw!$E:$E,Payments_Raw!$B:$B,A496,Payments_Raw!$F:$F,"Successful")</f>
        <v>1125.6500000000001</v>
      </c>
      <c r="O496" s="26">
        <f t="shared" si="29"/>
        <v>0</v>
      </c>
      <c r="P496" s="9" t="str">
        <f t="shared" si="30"/>
        <v>No Exception</v>
      </c>
      <c r="Q496" s="14" t="str">
        <f t="shared" si="31"/>
        <v>Not Overdue</v>
      </c>
      <c r="R496" s="14"/>
      <c r="S496">
        <f>COUNTA(Invoice_Analysis!A:A)-1</f>
        <v>524</v>
      </c>
    </row>
    <row r="497" spans="1:19" x14ac:dyDescent="0.25">
      <c r="A497" s="18" t="s">
        <v>1526</v>
      </c>
      <c r="B497" s="8" t="s">
        <v>53</v>
      </c>
      <c r="C497" s="8" t="s">
        <v>1527</v>
      </c>
      <c r="D497" s="8" t="s">
        <v>1528</v>
      </c>
      <c r="E497" s="19">
        <v>46288</v>
      </c>
      <c r="F497" s="19">
        <v>46318</v>
      </c>
      <c r="G497" s="8">
        <v>22704.23</v>
      </c>
      <c r="H497" s="8" t="s">
        <v>15</v>
      </c>
      <c r="I497" s="8" t="s">
        <v>23</v>
      </c>
      <c r="J497" s="8" t="s">
        <v>30</v>
      </c>
      <c r="K497" s="8" t="s">
        <v>24</v>
      </c>
      <c r="L497" t="str">
        <f t="shared" si="28"/>
        <v>Unique</v>
      </c>
      <c r="M497" s="8" t="str">
        <f>IF(COUNTIF(Payments_Raw!$B:$B,A497)=0,"Unpaid",IF(N497&gt;=G497,"Paid",IF(N497&gt;0,"Partial Payment",IF(COUNTIFS(Payments_Raw!$B:$B,A497,Payments_Raw!$F:$F,"Failed")&gt;0,"Failed",IF(COUNTIFS(Payments_Raw!$B:$B,A497,Payments_Raw!$F:$F,"Pending")&gt;0,"Pending","Unpaid")))))</f>
        <v>Partial Payment</v>
      </c>
      <c r="N497" s="8">
        <f>SUMIFS(Payments_Raw!$E:$E,Payments_Raw!$B:$B,A497,Payments_Raw!$F:$F,"Successful")</f>
        <v>21569.02</v>
      </c>
      <c r="O497" s="26">
        <f t="shared" si="29"/>
        <v>1135.2099999999991</v>
      </c>
      <c r="P497" s="9" t="str">
        <f t="shared" si="30"/>
        <v>Amount Mismatch</v>
      </c>
      <c r="Q497" s="14" t="str">
        <f t="shared" si="31"/>
        <v>Overdue</v>
      </c>
      <c r="R497" s="14"/>
      <c r="S497">
        <f>COUNTIF(Invoice_Analysis!L:L,"Duplicate")</f>
        <v>48</v>
      </c>
    </row>
    <row r="498" spans="1:19" x14ac:dyDescent="0.25">
      <c r="A498" s="18" t="s">
        <v>1529</v>
      </c>
      <c r="B498" s="8" t="s">
        <v>26</v>
      </c>
      <c r="C498" s="8" t="s">
        <v>1530</v>
      </c>
      <c r="D498" s="8" t="s">
        <v>1531</v>
      </c>
      <c r="E498" s="19">
        <v>46075</v>
      </c>
      <c r="F498" s="19">
        <v>46105</v>
      </c>
      <c r="G498" s="8">
        <v>17628.96</v>
      </c>
      <c r="H498" s="8" t="s">
        <v>15</v>
      </c>
      <c r="I498" s="8" t="s">
        <v>39</v>
      </c>
      <c r="J498" s="8" t="s">
        <v>17</v>
      </c>
      <c r="K498" s="8" t="s">
        <v>24</v>
      </c>
      <c r="L498" t="str">
        <f t="shared" si="28"/>
        <v>Unique</v>
      </c>
      <c r="M498" s="8" t="str">
        <f>IF(COUNTIF(Payments_Raw!$B:$B,A498)=0,"Unpaid",IF(N498&gt;=G498,"Paid",IF(N498&gt;0,"Partial Payment",IF(COUNTIFS(Payments_Raw!$B:$B,A498,Payments_Raw!$F:$F,"Failed")&gt;0,"Failed",IF(COUNTIFS(Payments_Raw!$B:$B,A498,Payments_Raw!$F:$F,"Pending")&gt;0,"Pending","Unpaid")))))</f>
        <v>Paid</v>
      </c>
      <c r="N498" s="8">
        <f>SUMIFS(Payments_Raw!$E:$E,Payments_Raw!$B:$B,A498,Payments_Raw!$F:$F,"Successful")</f>
        <v>17628.96</v>
      </c>
      <c r="O498" s="26">
        <f t="shared" si="29"/>
        <v>0</v>
      </c>
      <c r="P498" s="9" t="str">
        <f t="shared" si="30"/>
        <v>No Exception</v>
      </c>
      <c r="Q498" s="14" t="str">
        <f t="shared" si="31"/>
        <v>Not Overdue</v>
      </c>
      <c r="R498" s="14"/>
    </row>
    <row r="499" spans="1:19" x14ac:dyDescent="0.25">
      <c r="A499" s="18" t="s">
        <v>1532</v>
      </c>
      <c r="B499" s="8" t="s">
        <v>12</v>
      </c>
      <c r="C499" s="8" t="s">
        <v>1533</v>
      </c>
      <c r="D499" s="8" t="s">
        <v>1534</v>
      </c>
      <c r="E499" s="19">
        <v>46215</v>
      </c>
      <c r="F499" s="19">
        <v>46230</v>
      </c>
      <c r="G499" s="8">
        <v>16383.44</v>
      </c>
      <c r="H499" s="8" t="s">
        <v>15</v>
      </c>
      <c r="I499" s="8" t="s">
        <v>29</v>
      </c>
      <c r="J499" s="8" t="s">
        <v>17</v>
      </c>
      <c r="K499" s="8" t="s">
        <v>18</v>
      </c>
      <c r="L499" t="str">
        <f t="shared" si="28"/>
        <v>Unique</v>
      </c>
      <c r="M499" s="8" t="str">
        <f>IF(COUNTIF(Payments_Raw!$B:$B,A499)=0,"Unpaid",IF(N499&gt;=G499,"Paid",IF(N499&gt;0,"Partial Payment",IF(COUNTIFS(Payments_Raw!$B:$B,A499,Payments_Raw!$F:$F,"Failed")&gt;0,"Failed",IF(COUNTIFS(Payments_Raw!$B:$B,A499,Payments_Raw!$F:$F,"Pending")&gt;0,"Pending","Unpaid")))))</f>
        <v>Paid</v>
      </c>
      <c r="N499" s="8">
        <f>SUMIFS(Payments_Raw!$E:$E,Payments_Raw!$B:$B,A499,Payments_Raw!$F:$F,"Successful")</f>
        <v>16383.44</v>
      </c>
      <c r="O499" s="26">
        <f t="shared" si="29"/>
        <v>0</v>
      </c>
      <c r="P499" s="9" t="str">
        <f t="shared" si="30"/>
        <v>No Exception</v>
      </c>
      <c r="Q499" s="14" t="str">
        <f t="shared" si="31"/>
        <v>Not Overdue</v>
      </c>
      <c r="R499" s="14"/>
    </row>
    <row r="500" spans="1:19" x14ac:dyDescent="0.25">
      <c r="A500" s="18" t="s">
        <v>1535</v>
      </c>
      <c r="B500" s="8" t="s">
        <v>36</v>
      </c>
      <c r="C500" s="8" t="s">
        <v>1536</v>
      </c>
      <c r="D500" s="8" t="s">
        <v>1537</v>
      </c>
      <c r="E500" s="19">
        <v>46230</v>
      </c>
      <c r="F500" s="19">
        <v>46260</v>
      </c>
      <c r="G500" s="8">
        <v>8900.1</v>
      </c>
      <c r="H500" s="8" t="s">
        <v>15</v>
      </c>
      <c r="I500" s="8" t="s">
        <v>16</v>
      </c>
      <c r="J500" s="8" t="s">
        <v>17</v>
      </c>
      <c r="K500" s="8" t="s">
        <v>24</v>
      </c>
      <c r="L500" t="str">
        <f t="shared" si="28"/>
        <v>Unique</v>
      </c>
      <c r="M500" s="8" t="str">
        <f>IF(COUNTIF(Payments_Raw!$B:$B,A500)=0,"Unpaid",IF(N500&gt;=G500,"Paid",IF(N500&gt;0,"Partial Payment",IF(COUNTIFS(Payments_Raw!$B:$B,A500,Payments_Raw!$F:$F,"Failed")&gt;0,"Failed",IF(COUNTIFS(Payments_Raw!$B:$B,A500,Payments_Raw!$F:$F,"Pending")&gt;0,"Pending","Unpaid")))))</f>
        <v>Unpaid</v>
      </c>
      <c r="N500" s="8">
        <f>SUMIFS(Payments_Raw!$E:$E,Payments_Raw!$B:$B,A500,Payments_Raw!$F:$F,"Successful")</f>
        <v>0</v>
      </c>
      <c r="O500" s="26">
        <f t="shared" si="29"/>
        <v>8900.1</v>
      </c>
      <c r="P500" s="9" t="str">
        <f t="shared" si="30"/>
        <v>Unpaid Invoice</v>
      </c>
      <c r="Q500" s="14" t="str">
        <f t="shared" si="31"/>
        <v>Overdue</v>
      </c>
      <c r="R500" s="14"/>
    </row>
    <row r="501" spans="1:19" x14ac:dyDescent="0.25">
      <c r="A501" s="18" t="s">
        <v>1538</v>
      </c>
      <c r="B501" s="8" t="s">
        <v>122</v>
      </c>
      <c r="C501" s="8" t="s">
        <v>1539</v>
      </c>
      <c r="D501" s="8" t="s">
        <v>1540</v>
      </c>
      <c r="E501" s="19">
        <v>46248</v>
      </c>
      <c r="F501" s="19">
        <v>46263</v>
      </c>
      <c r="G501" s="8">
        <v>47521.7</v>
      </c>
      <c r="H501" s="8" t="s">
        <v>15</v>
      </c>
      <c r="I501" s="8" t="s">
        <v>29</v>
      </c>
      <c r="J501" s="8" t="s">
        <v>17</v>
      </c>
      <c r="K501" s="8" t="s">
        <v>24</v>
      </c>
      <c r="L501" t="str">
        <f t="shared" si="28"/>
        <v>Unique</v>
      </c>
      <c r="M501" s="8" t="str">
        <f>IF(COUNTIF(Payments_Raw!$B:$B,A501)=0,"Unpaid",IF(N501&gt;=G501,"Paid",IF(N501&gt;0,"Partial Payment",IF(COUNTIFS(Payments_Raw!$B:$B,A501,Payments_Raw!$F:$F,"Failed")&gt;0,"Failed",IF(COUNTIFS(Payments_Raw!$B:$B,A501,Payments_Raw!$F:$F,"Pending")&gt;0,"Pending","Unpaid")))))</f>
        <v>Paid</v>
      </c>
      <c r="N501" s="8">
        <f>SUMIFS(Payments_Raw!$E:$E,Payments_Raw!$B:$B,A501,Payments_Raw!$F:$F,"Successful")</f>
        <v>47521.7</v>
      </c>
      <c r="O501" s="26">
        <f t="shared" si="29"/>
        <v>0</v>
      </c>
      <c r="P501" s="9" t="str">
        <f t="shared" si="30"/>
        <v>No Exception</v>
      </c>
      <c r="Q501" s="14" t="str">
        <f t="shared" si="31"/>
        <v>Not Overdue</v>
      </c>
      <c r="R501" s="14"/>
    </row>
    <row r="502" spans="1:19" x14ac:dyDescent="0.25">
      <c r="A502" s="18" t="s">
        <v>1541</v>
      </c>
      <c r="B502" s="8" t="s">
        <v>12</v>
      </c>
      <c r="C502" s="8" t="s">
        <v>1296</v>
      </c>
      <c r="D502" s="8" t="s">
        <v>1297</v>
      </c>
      <c r="E502" s="19">
        <v>46104</v>
      </c>
      <c r="F502" s="19">
        <v>46134</v>
      </c>
      <c r="G502" s="8">
        <v>12300.68</v>
      </c>
      <c r="H502" s="8" t="s">
        <v>15</v>
      </c>
      <c r="I502" s="8" t="s">
        <v>16</v>
      </c>
      <c r="J502" s="8" t="s">
        <v>17</v>
      </c>
      <c r="K502" s="8" t="s">
        <v>63</v>
      </c>
      <c r="L502" t="str">
        <f t="shared" si="28"/>
        <v>Duplicate</v>
      </c>
      <c r="M502" s="8" t="str">
        <f>IF(COUNTIF(Payments_Raw!$B:$B,A502)=0,"Unpaid",IF(N502&gt;=G502,"Paid",IF(N502&gt;0,"Partial Payment",IF(COUNTIFS(Payments_Raw!$B:$B,A502,Payments_Raw!$F:$F,"Failed")&gt;0,"Failed",IF(COUNTIFS(Payments_Raw!$B:$B,A502,Payments_Raw!$F:$F,"Pending")&gt;0,"Pending","Unpaid")))))</f>
        <v>Pending</v>
      </c>
      <c r="N502" s="8">
        <f>SUMIFS(Payments_Raw!$E:$E,Payments_Raw!$B:$B,A502,Payments_Raw!$F:$F,"Successful")</f>
        <v>0</v>
      </c>
      <c r="O502" s="26">
        <f t="shared" si="29"/>
        <v>12300.68</v>
      </c>
      <c r="P502" s="9" t="str">
        <f t="shared" si="30"/>
        <v>Duplicate Invoice</v>
      </c>
      <c r="Q502" s="14" t="str">
        <f t="shared" si="31"/>
        <v>Overdue</v>
      </c>
      <c r="R502" s="14"/>
    </row>
    <row r="503" spans="1:19" x14ac:dyDescent="0.25">
      <c r="A503" s="18" t="s">
        <v>1542</v>
      </c>
      <c r="B503" s="8" t="s">
        <v>20</v>
      </c>
      <c r="C503" s="8" t="s">
        <v>222</v>
      </c>
      <c r="D503" s="8" t="s">
        <v>223</v>
      </c>
      <c r="E503" s="19">
        <v>46087</v>
      </c>
      <c r="F503" s="19">
        <v>46117</v>
      </c>
      <c r="G503" s="8">
        <v>11902.2</v>
      </c>
      <c r="H503" s="8" t="s">
        <v>15</v>
      </c>
      <c r="I503" s="8" t="s">
        <v>39</v>
      </c>
      <c r="J503" s="8" t="s">
        <v>17</v>
      </c>
      <c r="K503" s="8" t="s">
        <v>18</v>
      </c>
      <c r="L503" t="str">
        <f t="shared" si="28"/>
        <v>Duplicate</v>
      </c>
      <c r="M503" s="8" t="str">
        <f>IF(COUNTIF(Payments_Raw!$B:$B,A503)=0,"Unpaid",IF(N503&gt;=G503,"Paid",IF(N503&gt;0,"Partial Payment",IF(COUNTIFS(Payments_Raw!$B:$B,A503,Payments_Raw!$F:$F,"Failed")&gt;0,"Failed",IF(COUNTIFS(Payments_Raw!$B:$B,A503,Payments_Raw!$F:$F,"Pending")&gt;0,"Pending","Unpaid")))))</f>
        <v>Paid</v>
      </c>
      <c r="N503" s="8">
        <f>SUMIFS(Payments_Raw!$E:$E,Payments_Raw!$B:$B,A503,Payments_Raw!$F:$F,"Successful")</f>
        <v>11902.2</v>
      </c>
      <c r="O503" s="26">
        <f t="shared" si="29"/>
        <v>0</v>
      </c>
      <c r="P503" s="9" t="str">
        <f t="shared" si="30"/>
        <v>Duplicate Invoice</v>
      </c>
      <c r="Q503" s="14" t="str">
        <f t="shared" si="31"/>
        <v>Not Overdue</v>
      </c>
      <c r="R503" s="14"/>
    </row>
    <row r="504" spans="1:19" x14ac:dyDescent="0.25">
      <c r="A504" s="18" t="s">
        <v>1543</v>
      </c>
      <c r="B504" s="8" t="s">
        <v>45</v>
      </c>
      <c r="C504" s="8" t="s">
        <v>1056</v>
      </c>
      <c r="D504" s="8" t="s">
        <v>1057</v>
      </c>
      <c r="E504" s="19">
        <v>46040</v>
      </c>
      <c r="F504" s="19">
        <v>46070</v>
      </c>
      <c r="G504" s="8">
        <v>8455.07</v>
      </c>
      <c r="H504" s="8" t="s">
        <v>15</v>
      </c>
      <c r="I504" s="8" t="s">
        <v>16</v>
      </c>
      <c r="J504" s="8" t="s">
        <v>17</v>
      </c>
      <c r="K504" s="8" t="s">
        <v>24</v>
      </c>
      <c r="L504" t="str">
        <f t="shared" si="28"/>
        <v>Duplicate</v>
      </c>
      <c r="M504" s="8" t="str">
        <f>IF(COUNTIF(Payments_Raw!$B:$B,A504)=0,"Unpaid",IF(N504&gt;=G504,"Paid",IF(N504&gt;0,"Partial Payment",IF(COUNTIFS(Payments_Raw!$B:$B,A504,Payments_Raw!$F:$F,"Failed")&gt;0,"Failed",IF(COUNTIFS(Payments_Raw!$B:$B,A504,Payments_Raw!$F:$F,"Pending")&gt;0,"Pending","Unpaid")))))</f>
        <v>Pending</v>
      </c>
      <c r="N504" s="8">
        <f>SUMIFS(Payments_Raw!$E:$E,Payments_Raw!$B:$B,A504,Payments_Raw!$F:$F,"Successful")</f>
        <v>0</v>
      </c>
      <c r="O504" s="26">
        <f t="shared" si="29"/>
        <v>8455.07</v>
      </c>
      <c r="P504" s="9" t="str">
        <f t="shared" si="30"/>
        <v>Duplicate Invoice</v>
      </c>
      <c r="Q504" s="14" t="str">
        <f t="shared" si="31"/>
        <v>Overdue</v>
      </c>
      <c r="R504" s="14"/>
    </row>
    <row r="505" spans="1:19" x14ac:dyDescent="0.25">
      <c r="A505" s="18" t="s">
        <v>1544</v>
      </c>
      <c r="B505" s="8" t="s">
        <v>20</v>
      </c>
      <c r="C505" s="8" t="s">
        <v>393</v>
      </c>
      <c r="D505" s="8" t="s">
        <v>394</v>
      </c>
      <c r="E505" s="19">
        <v>46057</v>
      </c>
      <c r="F505" s="19">
        <v>46087</v>
      </c>
      <c r="G505" s="8">
        <v>15928.85</v>
      </c>
      <c r="H505" s="8" t="s">
        <v>15</v>
      </c>
      <c r="I505" s="8" t="s">
        <v>16</v>
      </c>
      <c r="J505" s="8" t="s">
        <v>30</v>
      </c>
      <c r="K505" s="8" t="s">
        <v>18</v>
      </c>
      <c r="L505" t="str">
        <f t="shared" si="28"/>
        <v>Duplicate</v>
      </c>
      <c r="M505" s="8" t="str">
        <f>IF(COUNTIF(Payments_Raw!$B:$B,A505)=0,"Unpaid",IF(N505&gt;=G505,"Paid",IF(N505&gt;0,"Partial Payment",IF(COUNTIFS(Payments_Raw!$B:$B,A505,Payments_Raw!$F:$F,"Failed")&gt;0,"Failed",IF(COUNTIFS(Payments_Raw!$B:$B,A505,Payments_Raw!$F:$F,"Pending")&gt;0,"Pending","Unpaid")))))</f>
        <v>Paid</v>
      </c>
      <c r="N505" s="8">
        <f>SUMIFS(Payments_Raw!$E:$E,Payments_Raw!$B:$B,A505,Payments_Raw!$F:$F,"Successful")</f>
        <v>15928.85</v>
      </c>
      <c r="O505" s="26">
        <f t="shared" si="29"/>
        <v>0</v>
      </c>
      <c r="P505" s="9" t="str">
        <f t="shared" si="30"/>
        <v>Duplicate Invoice</v>
      </c>
      <c r="Q505" s="14" t="str">
        <f t="shared" si="31"/>
        <v>Not Overdue</v>
      </c>
      <c r="R505" s="14"/>
    </row>
    <row r="506" spans="1:19" x14ac:dyDescent="0.25">
      <c r="A506" s="18" t="s">
        <v>1545</v>
      </c>
      <c r="B506" s="8" t="s">
        <v>122</v>
      </c>
      <c r="C506" s="8" t="s">
        <v>678</v>
      </c>
      <c r="D506" s="8" t="s">
        <v>679</v>
      </c>
      <c r="E506" s="19">
        <v>46190</v>
      </c>
      <c r="F506" s="19">
        <v>46220</v>
      </c>
      <c r="G506" s="8">
        <v>23292.45</v>
      </c>
      <c r="H506" s="8" t="s">
        <v>15</v>
      </c>
      <c r="I506" s="8" t="s">
        <v>39</v>
      </c>
      <c r="J506" s="8" t="s">
        <v>17</v>
      </c>
      <c r="K506" s="8" t="s">
        <v>63</v>
      </c>
      <c r="L506" t="str">
        <f t="shared" si="28"/>
        <v>Duplicate</v>
      </c>
      <c r="M506" s="8" t="str">
        <f>IF(COUNTIF(Payments_Raw!$B:$B,A506)=0,"Unpaid",IF(N506&gt;=G506,"Paid",IF(N506&gt;0,"Partial Payment",IF(COUNTIFS(Payments_Raw!$B:$B,A506,Payments_Raw!$F:$F,"Failed")&gt;0,"Failed",IF(COUNTIFS(Payments_Raw!$B:$B,A506,Payments_Raw!$F:$F,"Pending")&gt;0,"Pending","Unpaid")))))</f>
        <v>Unpaid</v>
      </c>
      <c r="N506" s="8">
        <f>SUMIFS(Payments_Raw!$E:$E,Payments_Raw!$B:$B,A506,Payments_Raw!$F:$F,"Successful")</f>
        <v>0</v>
      </c>
      <c r="O506" s="26">
        <f t="shared" si="29"/>
        <v>23292.45</v>
      </c>
      <c r="P506" s="9" t="str">
        <f t="shared" si="30"/>
        <v>Duplicate Invoice</v>
      </c>
      <c r="Q506" s="14" t="str">
        <f t="shared" si="31"/>
        <v>Overdue</v>
      </c>
      <c r="R506" s="14"/>
    </row>
    <row r="507" spans="1:19" x14ac:dyDescent="0.25">
      <c r="A507" s="18" t="s">
        <v>1546</v>
      </c>
      <c r="B507" s="8" t="s">
        <v>170</v>
      </c>
      <c r="C507" s="8" t="s">
        <v>1287</v>
      </c>
      <c r="D507" s="8" t="s">
        <v>1288</v>
      </c>
      <c r="E507" s="19">
        <v>46061</v>
      </c>
      <c r="F507" s="19">
        <v>46091</v>
      </c>
      <c r="G507" s="8">
        <v>11868.83</v>
      </c>
      <c r="H507" s="8" t="s">
        <v>15</v>
      </c>
      <c r="I507" s="8" t="s">
        <v>16</v>
      </c>
      <c r="J507" s="8" t="s">
        <v>17</v>
      </c>
      <c r="K507" s="8" t="s">
        <v>18</v>
      </c>
      <c r="L507" t="str">
        <f t="shared" si="28"/>
        <v>Duplicate</v>
      </c>
      <c r="M507" s="8" t="str">
        <f>IF(COUNTIF(Payments_Raw!$B:$B,A507)=0,"Unpaid",IF(N507&gt;=G507,"Paid",IF(N507&gt;0,"Partial Payment",IF(COUNTIFS(Payments_Raw!$B:$B,A507,Payments_Raw!$F:$F,"Failed")&gt;0,"Failed",IF(COUNTIFS(Payments_Raw!$B:$B,A507,Payments_Raw!$F:$F,"Pending")&gt;0,"Pending","Unpaid")))))</f>
        <v>Paid</v>
      </c>
      <c r="N507" s="8">
        <f>SUMIFS(Payments_Raw!$E:$E,Payments_Raw!$B:$B,A507,Payments_Raw!$F:$F,"Successful")</f>
        <v>11868.83</v>
      </c>
      <c r="O507" s="26">
        <f t="shared" si="29"/>
        <v>0</v>
      </c>
      <c r="P507" s="9" t="str">
        <f t="shared" si="30"/>
        <v>Duplicate Invoice</v>
      </c>
      <c r="Q507" s="14" t="str">
        <f t="shared" si="31"/>
        <v>Not Overdue</v>
      </c>
      <c r="R507" s="14"/>
    </row>
    <row r="508" spans="1:19" x14ac:dyDescent="0.25">
      <c r="A508" s="18" t="s">
        <v>1547</v>
      </c>
      <c r="B508" s="8" t="s">
        <v>57</v>
      </c>
      <c r="C508" s="8" t="s">
        <v>549</v>
      </c>
      <c r="D508" s="8" t="s">
        <v>550</v>
      </c>
      <c r="E508" s="19">
        <v>46137</v>
      </c>
      <c r="F508" s="19">
        <v>46167</v>
      </c>
      <c r="G508" s="8">
        <v>821.31</v>
      </c>
      <c r="H508" s="8" t="s">
        <v>15</v>
      </c>
      <c r="I508" s="8" t="s">
        <v>39</v>
      </c>
      <c r="J508" s="8" t="s">
        <v>30</v>
      </c>
      <c r="K508" s="8" t="s">
        <v>63</v>
      </c>
      <c r="L508" t="str">
        <f t="shared" si="28"/>
        <v>Duplicate</v>
      </c>
      <c r="M508" s="8" t="str">
        <f>IF(COUNTIF(Payments_Raw!$B:$B,A508)=0,"Unpaid",IF(N508&gt;=G508,"Paid",IF(N508&gt;0,"Partial Payment",IF(COUNTIFS(Payments_Raw!$B:$B,A508,Payments_Raw!$F:$F,"Failed")&gt;0,"Failed",IF(COUNTIFS(Payments_Raw!$B:$B,A508,Payments_Raw!$F:$F,"Pending")&gt;0,"Pending","Unpaid")))))</f>
        <v>Paid</v>
      </c>
      <c r="N508" s="8">
        <f>SUMIFS(Payments_Raw!$E:$E,Payments_Raw!$B:$B,A508,Payments_Raw!$F:$F,"Successful")</f>
        <v>821.31</v>
      </c>
      <c r="O508" s="26">
        <f t="shared" si="29"/>
        <v>0</v>
      </c>
      <c r="P508" s="9" t="str">
        <f t="shared" si="30"/>
        <v>Duplicate Invoice</v>
      </c>
      <c r="Q508" s="14" t="str">
        <f t="shared" si="31"/>
        <v>Not Overdue</v>
      </c>
      <c r="R508" s="14"/>
    </row>
    <row r="509" spans="1:19" x14ac:dyDescent="0.25">
      <c r="A509" s="18" t="s">
        <v>1548</v>
      </c>
      <c r="B509" s="8" t="s">
        <v>170</v>
      </c>
      <c r="C509" s="8" t="s">
        <v>1146</v>
      </c>
      <c r="D509" s="8" t="s">
        <v>1147</v>
      </c>
      <c r="E509" s="19">
        <v>46095</v>
      </c>
      <c r="F509" s="19">
        <v>46125</v>
      </c>
      <c r="G509" s="8">
        <v>14130.15</v>
      </c>
      <c r="H509" s="8" t="s">
        <v>15</v>
      </c>
      <c r="I509" s="8" t="s">
        <v>16</v>
      </c>
      <c r="J509" s="8" t="s">
        <v>17</v>
      </c>
      <c r="K509" s="8" t="s">
        <v>18</v>
      </c>
      <c r="L509" t="str">
        <f t="shared" si="28"/>
        <v>Duplicate</v>
      </c>
      <c r="M509" s="8" t="str">
        <f>IF(COUNTIF(Payments_Raw!$B:$B,A509)=0,"Unpaid",IF(N509&gt;=G509,"Paid",IF(N509&gt;0,"Partial Payment",IF(COUNTIFS(Payments_Raw!$B:$B,A509,Payments_Raw!$F:$F,"Failed")&gt;0,"Failed",IF(COUNTIFS(Payments_Raw!$B:$B,A509,Payments_Raw!$F:$F,"Pending")&gt;0,"Pending","Unpaid")))))</f>
        <v>Paid</v>
      </c>
      <c r="N509" s="8">
        <f>SUMIFS(Payments_Raw!$E:$E,Payments_Raw!$B:$B,A509,Payments_Raw!$F:$F,"Successful")</f>
        <v>14130.15</v>
      </c>
      <c r="O509" s="26">
        <f t="shared" si="29"/>
        <v>0</v>
      </c>
      <c r="P509" s="9" t="str">
        <f t="shared" si="30"/>
        <v>Duplicate Invoice</v>
      </c>
      <c r="Q509" s="14" t="str">
        <f t="shared" si="31"/>
        <v>Not Overdue</v>
      </c>
      <c r="R509" s="14"/>
    </row>
    <row r="510" spans="1:19" x14ac:dyDescent="0.25">
      <c r="A510" s="18" t="s">
        <v>1549</v>
      </c>
      <c r="B510" s="8" t="s">
        <v>49</v>
      </c>
      <c r="C510" s="8" t="s">
        <v>216</v>
      </c>
      <c r="D510" s="8" t="s">
        <v>217</v>
      </c>
      <c r="E510" s="19">
        <v>46238</v>
      </c>
      <c r="F510" s="19">
        <v>46268</v>
      </c>
      <c r="G510" s="8">
        <v>6396.52</v>
      </c>
      <c r="H510" s="8" t="s">
        <v>15</v>
      </c>
      <c r="I510" s="8" t="s">
        <v>16</v>
      </c>
      <c r="J510" s="8" t="s">
        <v>17</v>
      </c>
      <c r="K510" s="8" t="s">
        <v>63</v>
      </c>
      <c r="L510" t="str">
        <f t="shared" si="28"/>
        <v>Duplicate</v>
      </c>
      <c r="M510" s="8" t="str">
        <f>IF(COUNTIF(Payments_Raw!$B:$B,A510)=0,"Unpaid",IF(N510&gt;=G510,"Paid",IF(N510&gt;0,"Partial Payment",IF(COUNTIFS(Payments_Raw!$B:$B,A510,Payments_Raw!$F:$F,"Failed")&gt;0,"Failed",IF(COUNTIFS(Payments_Raw!$B:$B,A510,Payments_Raw!$F:$F,"Pending")&gt;0,"Pending","Unpaid")))))</f>
        <v>Pending</v>
      </c>
      <c r="N510" s="8">
        <f>SUMIFS(Payments_Raw!$E:$E,Payments_Raw!$B:$B,A510,Payments_Raw!$F:$F,"Successful")</f>
        <v>0</v>
      </c>
      <c r="O510" s="26">
        <f t="shared" si="29"/>
        <v>6396.52</v>
      </c>
      <c r="P510" s="9" t="str">
        <f t="shared" si="30"/>
        <v>Duplicate Invoice</v>
      </c>
      <c r="Q510" s="14" t="str">
        <f t="shared" si="31"/>
        <v>Overdue</v>
      </c>
      <c r="R510" s="14"/>
    </row>
    <row r="511" spans="1:19" x14ac:dyDescent="0.25">
      <c r="A511" s="18" t="s">
        <v>1550</v>
      </c>
      <c r="B511" s="8" t="s">
        <v>57</v>
      </c>
      <c r="C511" s="8" t="s">
        <v>780</v>
      </c>
      <c r="D511" s="8" t="s">
        <v>781</v>
      </c>
      <c r="E511" s="19">
        <v>46103</v>
      </c>
      <c r="F511" s="19">
        <v>46133</v>
      </c>
      <c r="G511" s="8">
        <v>6978.17</v>
      </c>
      <c r="H511" s="8" t="s">
        <v>15</v>
      </c>
      <c r="I511" s="8" t="s">
        <v>39</v>
      </c>
      <c r="J511" s="8" t="s">
        <v>17</v>
      </c>
      <c r="K511" s="8" t="s">
        <v>18</v>
      </c>
      <c r="L511" t="str">
        <f t="shared" si="28"/>
        <v>Duplicate</v>
      </c>
      <c r="M511" s="8" t="str">
        <f>IF(COUNTIF(Payments_Raw!$B:$B,A511)=0,"Unpaid",IF(N511&gt;=G511,"Paid",IF(N511&gt;0,"Partial Payment",IF(COUNTIFS(Payments_Raw!$B:$B,A511,Payments_Raw!$F:$F,"Failed")&gt;0,"Failed",IF(COUNTIFS(Payments_Raw!$B:$B,A511,Payments_Raw!$F:$F,"Pending")&gt;0,"Pending","Unpaid")))))</f>
        <v>Pending</v>
      </c>
      <c r="N511" s="8">
        <f>SUMIFS(Payments_Raw!$E:$E,Payments_Raw!$B:$B,A511,Payments_Raw!$F:$F,"Successful")</f>
        <v>0</v>
      </c>
      <c r="O511" s="26">
        <f t="shared" si="29"/>
        <v>6978.17</v>
      </c>
      <c r="P511" s="9" t="str">
        <f t="shared" si="30"/>
        <v>Duplicate Invoice</v>
      </c>
      <c r="Q511" s="14" t="str">
        <f t="shared" si="31"/>
        <v>Overdue</v>
      </c>
      <c r="R511" s="14"/>
    </row>
    <row r="512" spans="1:19" x14ac:dyDescent="0.25">
      <c r="A512" s="18" t="s">
        <v>1551</v>
      </c>
      <c r="B512" s="8" t="s">
        <v>138</v>
      </c>
      <c r="C512" s="8" t="s">
        <v>1077</v>
      </c>
      <c r="D512" s="8" t="s">
        <v>1078</v>
      </c>
      <c r="E512" s="19">
        <v>46147</v>
      </c>
      <c r="F512" s="19">
        <v>46177</v>
      </c>
      <c r="G512" s="8">
        <v>11662.5</v>
      </c>
      <c r="H512" s="8" t="s">
        <v>15</v>
      </c>
      <c r="I512" s="8" t="s">
        <v>39</v>
      </c>
      <c r="J512" s="8" t="s">
        <v>17</v>
      </c>
      <c r="K512" s="8" t="s">
        <v>24</v>
      </c>
      <c r="L512" t="str">
        <f t="shared" si="28"/>
        <v>Duplicate</v>
      </c>
      <c r="M512" s="8" t="str">
        <f>IF(COUNTIF(Payments_Raw!$B:$B,A512)=0,"Unpaid",IF(N512&gt;=G512,"Paid",IF(N512&gt;0,"Partial Payment",IF(COUNTIFS(Payments_Raw!$B:$B,A512,Payments_Raw!$F:$F,"Failed")&gt;0,"Failed",IF(COUNTIFS(Payments_Raw!$B:$B,A512,Payments_Raw!$F:$F,"Pending")&gt;0,"Pending","Unpaid")))))</f>
        <v>Paid</v>
      </c>
      <c r="N512" s="8">
        <f>SUMIFS(Payments_Raw!$E:$E,Payments_Raw!$B:$B,A512,Payments_Raw!$F:$F,"Successful")</f>
        <v>11662.5</v>
      </c>
      <c r="O512" s="26">
        <f t="shared" si="29"/>
        <v>0</v>
      </c>
      <c r="P512" s="9" t="str">
        <f t="shared" si="30"/>
        <v>Duplicate Invoice</v>
      </c>
      <c r="Q512" s="14" t="str">
        <f t="shared" si="31"/>
        <v>Not Overdue</v>
      </c>
      <c r="R512" s="14"/>
    </row>
    <row r="513" spans="1:18" x14ac:dyDescent="0.25">
      <c r="A513" s="18" t="s">
        <v>1552</v>
      </c>
      <c r="B513" s="8" t="s">
        <v>71</v>
      </c>
      <c r="C513" s="8" t="s">
        <v>777</v>
      </c>
      <c r="D513" s="8" t="s">
        <v>778</v>
      </c>
      <c r="E513" s="19">
        <v>46177</v>
      </c>
      <c r="F513" s="19">
        <v>46207</v>
      </c>
      <c r="G513" s="8">
        <v>11639.54</v>
      </c>
      <c r="H513" s="8" t="s">
        <v>15</v>
      </c>
      <c r="I513" s="8" t="s">
        <v>16</v>
      </c>
      <c r="J513" s="8" t="s">
        <v>17</v>
      </c>
      <c r="K513" s="8" t="s">
        <v>63</v>
      </c>
      <c r="L513" t="str">
        <f t="shared" si="28"/>
        <v>Duplicate</v>
      </c>
      <c r="M513" s="8" t="str">
        <f>IF(COUNTIF(Payments_Raw!$B:$B,A513)=0,"Unpaid",IF(N513&gt;=G513,"Paid",IF(N513&gt;0,"Partial Payment",IF(COUNTIFS(Payments_Raw!$B:$B,A513,Payments_Raw!$F:$F,"Failed")&gt;0,"Failed",IF(COUNTIFS(Payments_Raw!$B:$B,A513,Payments_Raw!$F:$F,"Pending")&gt;0,"Pending","Unpaid")))))</f>
        <v>Failed</v>
      </c>
      <c r="N513" s="8">
        <f>SUMIFS(Payments_Raw!$E:$E,Payments_Raw!$B:$B,A513,Payments_Raw!$F:$F,"Successful")</f>
        <v>0</v>
      </c>
      <c r="O513" s="26">
        <f t="shared" si="29"/>
        <v>11639.54</v>
      </c>
      <c r="P513" s="9" t="str">
        <f t="shared" si="30"/>
        <v>Duplicate Invoice</v>
      </c>
      <c r="Q513" s="14" t="str">
        <f t="shared" si="31"/>
        <v>Overdue</v>
      </c>
      <c r="R513" s="14"/>
    </row>
    <row r="514" spans="1:18" x14ac:dyDescent="0.25">
      <c r="A514" s="18" t="s">
        <v>1553</v>
      </c>
      <c r="B514" s="8" t="s">
        <v>170</v>
      </c>
      <c r="C514" s="8" t="s">
        <v>363</v>
      </c>
      <c r="D514" s="8" t="s">
        <v>364</v>
      </c>
      <c r="E514" s="19">
        <v>46177</v>
      </c>
      <c r="F514" s="19">
        <v>46207</v>
      </c>
      <c r="G514" s="8">
        <v>16016.79</v>
      </c>
      <c r="H514" s="8" t="s">
        <v>15</v>
      </c>
      <c r="I514" s="8" t="s">
        <v>39</v>
      </c>
      <c r="J514" s="8" t="s">
        <v>17</v>
      </c>
      <c r="K514" s="8" t="s">
        <v>63</v>
      </c>
      <c r="L514" t="str">
        <f t="shared" si="28"/>
        <v>Duplicate</v>
      </c>
      <c r="M514" s="8" t="str">
        <f>IF(COUNTIF(Payments_Raw!$B:$B,A514)=0,"Unpaid",IF(N514&gt;=G514,"Paid",IF(N514&gt;0,"Partial Payment",IF(COUNTIFS(Payments_Raw!$B:$B,A514,Payments_Raw!$F:$F,"Failed")&gt;0,"Failed",IF(COUNTIFS(Payments_Raw!$B:$B,A514,Payments_Raw!$F:$F,"Pending")&gt;0,"Pending","Unpaid")))))</f>
        <v>Paid</v>
      </c>
      <c r="N514" s="8">
        <f>SUMIFS(Payments_Raw!$E:$E,Payments_Raw!$B:$B,A514,Payments_Raw!$F:$F,"Successful")</f>
        <v>16016.79</v>
      </c>
      <c r="O514" s="26">
        <f t="shared" si="29"/>
        <v>0</v>
      </c>
      <c r="P514" s="9" t="str">
        <f t="shared" si="30"/>
        <v>Duplicate Invoice</v>
      </c>
      <c r="Q514" s="14" t="str">
        <f t="shared" si="31"/>
        <v>Not Overdue</v>
      </c>
      <c r="R514" s="14"/>
    </row>
    <row r="515" spans="1:18" x14ac:dyDescent="0.25">
      <c r="A515" s="18" t="s">
        <v>1554</v>
      </c>
      <c r="B515" s="8" t="s">
        <v>138</v>
      </c>
      <c r="C515" s="8" t="s">
        <v>948</v>
      </c>
      <c r="D515" s="8" t="s">
        <v>949</v>
      </c>
      <c r="E515" s="19">
        <v>46068</v>
      </c>
      <c r="F515" s="19">
        <v>46098</v>
      </c>
      <c r="G515" s="8">
        <v>16842.099999999999</v>
      </c>
      <c r="H515" s="8" t="s">
        <v>15</v>
      </c>
      <c r="I515" s="8" t="s">
        <v>29</v>
      </c>
      <c r="J515" s="8" t="s">
        <v>17</v>
      </c>
      <c r="K515" s="8" t="s">
        <v>18</v>
      </c>
      <c r="L515" t="str">
        <f t="shared" ref="L515:L525" si="32">IF(COUNTIFS($B:$B,B515,$C:$C,C515)&gt;1,"Duplicate","Unique")</f>
        <v>Duplicate</v>
      </c>
      <c r="M515" s="8" t="str">
        <f>IF(COUNTIF(Payments_Raw!$B:$B,A515)=0,"Unpaid",IF(N515&gt;=G515,"Paid",IF(N515&gt;0,"Partial Payment",IF(COUNTIFS(Payments_Raw!$B:$B,A515,Payments_Raw!$F:$F,"Failed")&gt;0,"Failed",IF(COUNTIFS(Payments_Raw!$B:$B,A515,Payments_Raw!$F:$F,"Pending")&gt;0,"Pending","Unpaid")))))</f>
        <v>Paid</v>
      </c>
      <c r="N515" s="8">
        <f>SUMIFS(Payments_Raw!$E:$E,Payments_Raw!$B:$B,A515,Payments_Raw!$F:$F,"Successful")</f>
        <v>16842.099999999999</v>
      </c>
      <c r="O515" s="26">
        <f t="shared" ref="O515:O526" si="33">G515-N515</f>
        <v>0</v>
      </c>
      <c r="P515" s="9" t="str">
        <f t="shared" ref="P515:P526" si="34">IF(L515="Duplicate","Duplicate Invoice",IF(M515="Failed","Failed Payment",IF(M515="Pending","Pending Payment",IF(M515="Unpaid","Unpaid Invoice",IF(M515="Partial Payment","Amount Mismatch","No Exception")))))</f>
        <v>Duplicate Invoice</v>
      </c>
      <c r="Q515" s="14" t="str">
        <f t="shared" ref="Q515:Q525" si="35">IF(AND(G515&lt;DATE(2026,10,14),M515&lt;&gt;"Paid"),"Overdue","Not Overdue")</f>
        <v>Not Overdue</v>
      </c>
      <c r="R515" s="14"/>
    </row>
    <row r="516" spans="1:18" x14ac:dyDescent="0.25">
      <c r="A516" s="18" t="s">
        <v>1555</v>
      </c>
      <c r="B516" s="8" t="s">
        <v>170</v>
      </c>
      <c r="C516" s="8" t="s">
        <v>288</v>
      </c>
      <c r="D516" s="8" t="s">
        <v>289</v>
      </c>
      <c r="E516" s="19">
        <v>46126</v>
      </c>
      <c r="F516" s="19">
        <v>46156</v>
      </c>
      <c r="G516" s="8">
        <v>10697.46</v>
      </c>
      <c r="H516" s="8" t="s">
        <v>15</v>
      </c>
      <c r="I516" s="8" t="s">
        <v>23</v>
      </c>
      <c r="J516" s="8" t="s">
        <v>17</v>
      </c>
      <c r="K516" s="8" t="s">
        <v>18</v>
      </c>
      <c r="L516" t="str">
        <f t="shared" si="32"/>
        <v>Duplicate</v>
      </c>
      <c r="M516" s="8" t="str">
        <f>IF(COUNTIF(Payments_Raw!$B:$B,A516)=0,"Unpaid",IF(N516&gt;=G516,"Paid",IF(N516&gt;0,"Partial Payment",IF(COUNTIFS(Payments_Raw!$B:$B,A516,Payments_Raw!$F:$F,"Failed")&gt;0,"Failed",IF(COUNTIFS(Payments_Raw!$B:$B,A516,Payments_Raw!$F:$F,"Pending")&gt;0,"Pending","Unpaid")))))</f>
        <v>Unpaid</v>
      </c>
      <c r="N516" s="8">
        <f>SUMIFS(Payments_Raw!$E:$E,Payments_Raw!$B:$B,A516,Payments_Raw!$F:$F,"Successful")</f>
        <v>0</v>
      </c>
      <c r="O516" s="26">
        <f t="shared" si="33"/>
        <v>10697.46</v>
      </c>
      <c r="P516" s="9" t="str">
        <f t="shared" si="34"/>
        <v>Duplicate Invoice</v>
      </c>
      <c r="Q516" s="14" t="str">
        <f t="shared" si="35"/>
        <v>Overdue</v>
      </c>
      <c r="R516" s="14"/>
    </row>
    <row r="517" spans="1:18" x14ac:dyDescent="0.25">
      <c r="A517" s="18" t="s">
        <v>1556</v>
      </c>
      <c r="B517" s="8" t="s">
        <v>85</v>
      </c>
      <c r="C517" s="8" t="s">
        <v>1035</v>
      </c>
      <c r="D517" s="8" t="s">
        <v>1036</v>
      </c>
      <c r="E517" s="19">
        <v>46212</v>
      </c>
      <c r="F517" s="19">
        <v>46242</v>
      </c>
      <c r="G517" s="8">
        <v>13713.34</v>
      </c>
      <c r="H517" s="8" t="s">
        <v>15</v>
      </c>
      <c r="I517" s="8" t="s">
        <v>29</v>
      </c>
      <c r="J517" s="8" t="s">
        <v>17</v>
      </c>
      <c r="K517" s="8" t="s">
        <v>18</v>
      </c>
      <c r="L517" t="str">
        <f t="shared" si="32"/>
        <v>Duplicate</v>
      </c>
      <c r="M517" s="8" t="str">
        <f>IF(COUNTIF(Payments_Raw!$B:$B,A517)=0,"Unpaid",IF(N517&gt;=G517,"Paid",IF(N517&gt;0,"Partial Payment",IF(COUNTIFS(Payments_Raw!$B:$B,A517,Payments_Raw!$F:$F,"Failed")&gt;0,"Failed",IF(COUNTIFS(Payments_Raw!$B:$B,A517,Payments_Raw!$F:$F,"Pending")&gt;0,"Pending","Unpaid")))))</f>
        <v>Failed</v>
      </c>
      <c r="N517" s="8">
        <f>SUMIFS(Payments_Raw!$E:$E,Payments_Raw!$B:$B,A517,Payments_Raw!$F:$F,"Successful")</f>
        <v>0</v>
      </c>
      <c r="O517" s="26">
        <f t="shared" si="33"/>
        <v>13713.34</v>
      </c>
      <c r="P517" s="9" t="str">
        <f t="shared" si="34"/>
        <v>Duplicate Invoice</v>
      </c>
      <c r="Q517" s="14" t="str">
        <f t="shared" si="35"/>
        <v>Overdue</v>
      </c>
      <c r="R517" s="14"/>
    </row>
    <row r="518" spans="1:18" x14ac:dyDescent="0.25">
      <c r="A518" s="18" t="s">
        <v>1557</v>
      </c>
      <c r="B518" s="8" t="s">
        <v>45</v>
      </c>
      <c r="C518" s="8" t="s">
        <v>1320</v>
      </c>
      <c r="D518" s="8" t="s">
        <v>1321</v>
      </c>
      <c r="E518" s="19">
        <v>46303</v>
      </c>
      <c r="F518" s="19">
        <v>46333</v>
      </c>
      <c r="G518" s="8">
        <v>6408.13</v>
      </c>
      <c r="H518" s="8" t="s">
        <v>15</v>
      </c>
      <c r="I518" s="8" t="s">
        <v>39</v>
      </c>
      <c r="J518" s="8" t="s">
        <v>30</v>
      </c>
      <c r="K518" s="8" t="s">
        <v>63</v>
      </c>
      <c r="L518" t="str">
        <f t="shared" si="32"/>
        <v>Duplicate</v>
      </c>
      <c r="M518" s="8" t="str">
        <f>IF(COUNTIF(Payments_Raw!$B:$B,A518)=0,"Unpaid",IF(N518&gt;=G518,"Paid",IF(N518&gt;0,"Partial Payment",IF(COUNTIFS(Payments_Raw!$B:$B,A518,Payments_Raw!$F:$F,"Failed")&gt;0,"Failed",IF(COUNTIFS(Payments_Raw!$B:$B,A518,Payments_Raw!$F:$F,"Pending")&gt;0,"Pending","Unpaid")))))</f>
        <v>Paid</v>
      </c>
      <c r="N518" s="8">
        <f>SUMIFS(Payments_Raw!$E:$E,Payments_Raw!$B:$B,A518,Payments_Raw!$F:$F,"Successful")</f>
        <v>6408.13</v>
      </c>
      <c r="O518" s="26">
        <f t="shared" si="33"/>
        <v>0</v>
      </c>
      <c r="P518" s="9" t="str">
        <f t="shared" si="34"/>
        <v>Duplicate Invoice</v>
      </c>
      <c r="Q518" s="14" t="str">
        <f t="shared" si="35"/>
        <v>Not Overdue</v>
      </c>
      <c r="R518" s="14"/>
    </row>
    <row r="519" spans="1:18" x14ac:dyDescent="0.25">
      <c r="A519" s="18" t="s">
        <v>1558</v>
      </c>
      <c r="B519" s="8" t="s">
        <v>57</v>
      </c>
      <c r="C519" s="8" t="s">
        <v>672</v>
      </c>
      <c r="D519" s="8" t="s">
        <v>673</v>
      </c>
      <c r="E519" s="19">
        <v>46198</v>
      </c>
      <c r="F519" s="19">
        <v>46228</v>
      </c>
      <c r="G519" s="8">
        <v>13998.86</v>
      </c>
      <c r="H519" s="8" t="s">
        <v>15</v>
      </c>
      <c r="I519" s="8" t="s">
        <v>16</v>
      </c>
      <c r="J519" s="8" t="s">
        <v>17</v>
      </c>
      <c r="K519" s="8" t="s">
        <v>18</v>
      </c>
      <c r="L519" t="str">
        <f t="shared" si="32"/>
        <v>Duplicate</v>
      </c>
      <c r="M519" s="8" t="str">
        <f>IF(COUNTIF(Payments_Raw!$B:$B,A519)=0,"Unpaid",IF(N519&gt;=G519,"Paid",IF(N519&gt;0,"Partial Payment",IF(COUNTIFS(Payments_Raw!$B:$B,A519,Payments_Raw!$F:$F,"Failed")&gt;0,"Failed",IF(COUNTIFS(Payments_Raw!$B:$B,A519,Payments_Raw!$F:$F,"Pending")&gt;0,"Pending","Unpaid")))))</f>
        <v>Pending</v>
      </c>
      <c r="N519" s="8">
        <f>SUMIFS(Payments_Raw!$E:$E,Payments_Raw!$B:$B,A519,Payments_Raw!$F:$F,"Successful")</f>
        <v>0</v>
      </c>
      <c r="O519" s="26">
        <f t="shared" si="33"/>
        <v>13998.86</v>
      </c>
      <c r="P519" s="9" t="str">
        <f t="shared" si="34"/>
        <v>Duplicate Invoice</v>
      </c>
      <c r="Q519" s="14" t="str">
        <f t="shared" si="35"/>
        <v>Overdue</v>
      </c>
      <c r="R519" s="14"/>
    </row>
    <row r="520" spans="1:18" x14ac:dyDescent="0.25">
      <c r="A520" s="18" t="s">
        <v>1559</v>
      </c>
      <c r="B520" s="8" t="s">
        <v>53</v>
      </c>
      <c r="C520" s="8" t="s">
        <v>65</v>
      </c>
      <c r="D520" s="8" t="s">
        <v>66</v>
      </c>
      <c r="E520" s="19">
        <v>46301</v>
      </c>
      <c r="F520" s="19">
        <v>46331</v>
      </c>
      <c r="G520" s="8">
        <v>18911</v>
      </c>
      <c r="H520" s="8" t="s">
        <v>15</v>
      </c>
      <c r="I520" s="8" t="s">
        <v>23</v>
      </c>
      <c r="J520" s="8" t="s">
        <v>17</v>
      </c>
      <c r="K520" s="8" t="s">
        <v>63</v>
      </c>
      <c r="L520" t="str">
        <f t="shared" si="32"/>
        <v>Duplicate</v>
      </c>
      <c r="M520" s="8" t="str">
        <f>IF(COUNTIF(Payments_Raw!$B:$B,A520)=0,"Unpaid",IF(N520&gt;=G520,"Paid",IF(N520&gt;0,"Partial Payment",IF(COUNTIFS(Payments_Raw!$B:$B,A520,Payments_Raw!$F:$F,"Failed")&gt;0,"Failed",IF(COUNTIFS(Payments_Raw!$B:$B,A520,Payments_Raw!$F:$F,"Pending")&gt;0,"Pending","Unpaid")))))</f>
        <v>Paid</v>
      </c>
      <c r="N520" s="8">
        <f>SUMIFS(Payments_Raw!$E:$E,Payments_Raw!$B:$B,A520,Payments_Raw!$F:$F,"Successful")</f>
        <v>18911</v>
      </c>
      <c r="O520" s="26">
        <f t="shared" si="33"/>
        <v>0</v>
      </c>
      <c r="P520" s="9" t="str">
        <f t="shared" si="34"/>
        <v>Duplicate Invoice</v>
      </c>
      <c r="Q520" s="14" t="str">
        <f t="shared" si="35"/>
        <v>Not Overdue</v>
      </c>
      <c r="R520" s="14"/>
    </row>
    <row r="521" spans="1:18" x14ac:dyDescent="0.25">
      <c r="A521" s="18" t="s">
        <v>1560</v>
      </c>
      <c r="B521" s="8" t="s">
        <v>122</v>
      </c>
      <c r="C521" s="8" t="s">
        <v>414</v>
      </c>
      <c r="D521" s="8" t="s">
        <v>415</v>
      </c>
      <c r="E521" s="19">
        <v>46026</v>
      </c>
      <c r="F521" s="19">
        <v>46056</v>
      </c>
      <c r="G521" s="8">
        <v>7018.6</v>
      </c>
      <c r="H521" s="8" t="s">
        <v>15</v>
      </c>
      <c r="I521" s="8" t="s">
        <v>16</v>
      </c>
      <c r="J521" s="8" t="s">
        <v>17</v>
      </c>
      <c r="K521" s="8" t="s">
        <v>24</v>
      </c>
      <c r="L521" t="str">
        <f t="shared" si="32"/>
        <v>Duplicate</v>
      </c>
      <c r="M521" s="8" t="str">
        <f>IF(COUNTIF(Payments_Raw!$B:$B,A521)=0,"Unpaid",IF(N521&gt;=G521,"Paid",IF(N521&gt;0,"Partial Payment",IF(COUNTIFS(Payments_Raw!$B:$B,A521,Payments_Raw!$F:$F,"Failed")&gt;0,"Failed",IF(COUNTIFS(Payments_Raw!$B:$B,A521,Payments_Raw!$F:$F,"Pending")&gt;0,"Pending","Unpaid")))))</f>
        <v>Paid</v>
      </c>
      <c r="N521" s="8">
        <f>SUMIFS(Payments_Raw!$E:$E,Payments_Raw!$B:$B,A521,Payments_Raw!$F:$F,"Successful")</f>
        <v>7018.6</v>
      </c>
      <c r="O521" s="26">
        <f t="shared" si="33"/>
        <v>0</v>
      </c>
      <c r="P521" s="9" t="str">
        <f t="shared" si="34"/>
        <v>Duplicate Invoice</v>
      </c>
      <c r="Q521" s="14" t="str">
        <f t="shared" si="35"/>
        <v>Not Overdue</v>
      </c>
      <c r="R521" s="14"/>
    </row>
    <row r="522" spans="1:18" x14ac:dyDescent="0.25">
      <c r="A522" s="18" t="s">
        <v>1561</v>
      </c>
      <c r="B522" s="8" t="s">
        <v>102</v>
      </c>
      <c r="C522" s="8" t="s">
        <v>103</v>
      </c>
      <c r="D522" s="8" t="s">
        <v>104</v>
      </c>
      <c r="E522" s="19">
        <v>46058</v>
      </c>
      <c r="F522" s="19">
        <v>46088</v>
      </c>
      <c r="G522" s="8">
        <v>16919.29</v>
      </c>
      <c r="H522" s="8" t="s">
        <v>15</v>
      </c>
      <c r="I522" s="8" t="s">
        <v>16</v>
      </c>
      <c r="J522" s="8" t="s">
        <v>17</v>
      </c>
      <c r="K522" s="8" t="s">
        <v>24</v>
      </c>
      <c r="L522" t="str">
        <f t="shared" si="32"/>
        <v>Duplicate</v>
      </c>
      <c r="M522" s="8" t="str">
        <f>IF(COUNTIF(Payments_Raw!$B:$B,A522)=0,"Unpaid",IF(N522&gt;=G522,"Paid",IF(N522&gt;0,"Partial Payment",IF(COUNTIFS(Payments_Raw!$B:$B,A522,Payments_Raw!$F:$F,"Failed")&gt;0,"Failed",IF(COUNTIFS(Payments_Raw!$B:$B,A522,Payments_Raw!$F:$F,"Pending")&gt;0,"Pending","Unpaid")))))</f>
        <v>Paid</v>
      </c>
      <c r="N522" s="8">
        <f>SUMIFS(Payments_Raw!$E:$E,Payments_Raw!$B:$B,A522,Payments_Raw!$F:$F,"Successful")</f>
        <v>16919.29</v>
      </c>
      <c r="O522" s="26">
        <f t="shared" si="33"/>
        <v>0</v>
      </c>
      <c r="P522" s="9" t="str">
        <f t="shared" si="34"/>
        <v>Duplicate Invoice</v>
      </c>
      <c r="Q522" s="14" t="str">
        <f t="shared" si="35"/>
        <v>Not Overdue</v>
      </c>
      <c r="R522" s="14"/>
    </row>
    <row r="523" spans="1:18" x14ac:dyDescent="0.25">
      <c r="A523" s="18" t="s">
        <v>1562</v>
      </c>
      <c r="B523" s="8" t="s">
        <v>122</v>
      </c>
      <c r="C523" s="8" t="s">
        <v>237</v>
      </c>
      <c r="D523" s="8" t="s">
        <v>238</v>
      </c>
      <c r="E523" s="19">
        <v>46245</v>
      </c>
      <c r="F523" s="19">
        <v>46275</v>
      </c>
      <c r="G523" s="8">
        <v>4502.29</v>
      </c>
      <c r="H523" s="8" t="s">
        <v>15</v>
      </c>
      <c r="I523" s="8" t="s">
        <v>16</v>
      </c>
      <c r="J523" s="8" t="s">
        <v>17</v>
      </c>
      <c r="K523" s="8" t="s">
        <v>63</v>
      </c>
      <c r="L523" t="str">
        <f t="shared" si="32"/>
        <v>Duplicate</v>
      </c>
      <c r="M523" s="8" t="str">
        <f>IF(COUNTIF(Payments_Raw!$B:$B,A523)=0,"Unpaid",IF(N523&gt;=G523,"Paid",IF(N523&gt;0,"Partial Payment",IF(COUNTIFS(Payments_Raw!$B:$B,A523,Payments_Raw!$F:$F,"Failed")&gt;0,"Failed",IF(COUNTIFS(Payments_Raw!$B:$B,A523,Payments_Raw!$F:$F,"Pending")&gt;0,"Pending","Unpaid")))))</f>
        <v>Paid</v>
      </c>
      <c r="N523" s="8">
        <f>SUMIFS(Payments_Raw!$E:$E,Payments_Raw!$B:$B,A523,Payments_Raw!$F:$F,"Successful")</f>
        <v>4502.29</v>
      </c>
      <c r="O523" s="26">
        <f t="shared" si="33"/>
        <v>0</v>
      </c>
      <c r="P523" s="9" t="str">
        <f t="shared" si="34"/>
        <v>Duplicate Invoice</v>
      </c>
      <c r="Q523" s="14" t="str">
        <f t="shared" si="35"/>
        <v>Not Overdue</v>
      </c>
      <c r="R523" s="14"/>
    </row>
    <row r="524" spans="1:18" x14ac:dyDescent="0.25">
      <c r="A524" s="18" t="s">
        <v>1563</v>
      </c>
      <c r="B524" s="8" t="s">
        <v>57</v>
      </c>
      <c r="C524" s="8" t="s">
        <v>921</v>
      </c>
      <c r="D524" s="8" t="s">
        <v>922</v>
      </c>
      <c r="E524" s="19">
        <v>46223</v>
      </c>
      <c r="F524" s="19">
        <v>46253</v>
      </c>
      <c r="G524" s="8">
        <v>11641.01</v>
      </c>
      <c r="H524" s="8" t="s">
        <v>15</v>
      </c>
      <c r="I524" s="8" t="s">
        <v>16</v>
      </c>
      <c r="J524" s="8" t="s">
        <v>30</v>
      </c>
      <c r="K524" s="8" t="s">
        <v>18</v>
      </c>
      <c r="L524" t="str">
        <f t="shared" si="32"/>
        <v>Duplicate</v>
      </c>
      <c r="M524" s="8" t="str">
        <f>IF(COUNTIF(Payments_Raw!$B:$B,A524)=0,"Unpaid",IF(N524&gt;=G524,"Paid",IF(N524&gt;0,"Partial Payment",IF(COUNTIFS(Payments_Raw!$B:$B,A524,Payments_Raw!$F:$F,"Failed")&gt;0,"Failed",IF(COUNTIFS(Payments_Raw!$B:$B,A524,Payments_Raw!$F:$F,"Pending")&gt;0,"Pending","Unpaid")))))</f>
        <v>Paid</v>
      </c>
      <c r="N524" s="8">
        <f>SUMIFS(Payments_Raw!$E:$E,Payments_Raw!$B:$B,A524,Payments_Raw!$F:$F,"Successful")</f>
        <v>11641.01</v>
      </c>
      <c r="O524" s="26">
        <f t="shared" si="33"/>
        <v>0</v>
      </c>
      <c r="P524" s="9" t="str">
        <f t="shared" si="34"/>
        <v>Duplicate Invoice</v>
      </c>
      <c r="Q524" s="14" t="str">
        <f t="shared" si="35"/>
        <v>Not Overdue</v>
      </c>
      <c r="R524" s="14"/>
    </row>
    <row r="525" spans="1:18" x14ac:dyDescent="0.25">
      <c r="A525" s="20" t="s">
        <v>1564</v>
      </c>
      <c r="B525" s="10" t="s">
        <v>36</v>
      </c>
      <c r="C525" s="10" t="s">
        <v>951</v>
      </c>
      <c r="D525" s="10" t="s">
        <v>952</v>
      </c>
      <c r="E525" s="21">
        <v>46222</v>
      </c>
      <c r="F525" s="21">
        <v>46252</v>
      </c>
      <c r="G525" s="10">
        <v>10525.79</v>
      </c>
      <c r="H525" s="10" t="s">
        <v>15</v>
      </c>
      <c r="I525" s="10" t="s">
        <v>29</v>
      </c>
      <c r="J525" s="10" t="s">
        <v>17</v>
      </c>
      <c r="K525" s="10" t="s">
        <v>24</v>
      </c>
      <c r="L525" t="str">
        <f t="shared" si="32"/>
        <v>Duplicate</v>
      </c>
      <c r="M525" s="8" t="str">
        <f>IF(COUNTIF(Payments_Raw!$B:$B,A525)=0,"Unpaid",IF(N525&gt;=G525,"Paid",IF(N525&gt;0,"Partial Payment",IF(COUNTIFS(Payments_Raw!$B:$B,A525,Payments_Raw!$F:$F,"Failed")&gt;0,"Failed",IF(COUNTIFS(Payments_Raw!$B:$B,A525,Payments_Raw!$F:$F,"Pending")&gt;0,"Pending","Unpaid")))))</f>
        <v>Paid</v>
      </c>
      <c r="N525" s="8">
        <f>SUMIFS(Payments_Raw!$E:$E,Payments_Raw!$B:$B,A525,Payments_Raw!$F:$F,"Successful")</f>
        <v>10525.79</v>
      </c>
      <c r="O525" s="26">
        <f t="shared" si="33"/>
        <v>0</v>
      </c>
      <c r="P525" s="9" t="str">
        <f t="shared" si="34"/>
        <v>Duplicate Invoice</v>
      </c>
      <c r="Q525" s="14" t="str">
        <f t="shared" si="35"/>
        <v>Not Overdue</v>
      </c>
      <c r="R525" s="14"/>
    </row>
    <row r="526" spans="1:18" x14ac:dyDescent="0.25">
      <c r="M526" s="8"/>
      <c r="N526" s="8"/>
      <c r="O526" s="26"/>
      <c r="P526" s="9"/>
      <c r="Q526" s="14"/>
      <c r="R526" s="14"/>
    </row>
    <row r="527" spans="1:18" x14ac:dyDescent="0.25">
      <c r="A527" s="18"/>
      <c r="B527" s="8"/>
      <c r="C527" s="8"/>
      <c r="D527" s="8"/>
      <c r="E527" s="19"/>
      <c r="F527" s="19"/>
      <c r="G527" s="8"/>
      <c r="H527" s="8"/>
      <c r="I527" s="8"/>
      <c r="J527" s="8"/>
      <c r="K527" s="8"/>
      <c r="L527" s="8"/>
      <c r="M527" s="8"/>
      <c r="N527" s="8"/>
      <c r="O527" s="8"/>
      <c r="P527" s="9"/>
      <c r="Q527" s="8"/>
      <c r="R52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AP_Dashboard</vt:lpstr>
      <vt:lpstr>Invoices_Raw</vt:lpstr>
      <vt:lpstr>Payments_Raw</vt:lpstr>
      <vt:lpstr>Vendor_Master</vt:lpstr>
      <vt:lpstr>Modification_Requests</vt:lpstr>
      <vt:lpstr>Data_Dictionary</vt:lpstr>
      <vt:lpstr>PT_Exceptions</vt:lpstr>
      <vt:lpstr>PT_Payments</vt:lpstr>
      <vt:lpstr>PT_Overdue</vt:lpstr>
      <vt:lpstr>Invoice_Analysis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</cp:lastModifiedBy>
  <dcterms:created xsi:type="dcterms:W3CDTF">2026-10-14T13:37:34Z</dcterms:created>
  <dcterms:modified xsi:type="dcterms:W3CDTF">2026-10-14T16:18:38Z</dcterms:modified>
</cp:coreProperties>
</file>